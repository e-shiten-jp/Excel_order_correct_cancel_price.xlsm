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5.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data\excel_vba\upload\"/>
    </mc:Choice>
  </mc:AlternateContent>
  <bookViews>
    <workbookView xWindow="0" yWindow="0" windowWidth="18030" windowHeight="10260" tabRatio="509"/>
  </bookViews>
  <sheets>
    <sheet name="e_API_read_me" sheetId="2" r:id="rId1"/>
    <sheet name="設定" sheetId="1" r:id="rId2"/>
    <sheet name="照会" sheetId="7" r:id="rId3"/>
    <sheet name="現物" sheetId="8" r:id="rId4"/>
    <sheet name="信用" sheetId="6" r:id="rId5"/>
    <sheet name="株価" sheetId="9" r:id="rId6"/>
    <sheet name="マスター" sheetId="10" r:id="rId7"/>
    <sheet name="api_応答" sheetId="4" r:id="rId8"/>
    <sheet name="結果" sheetId="5" r:id="rId9"/>
  </sheets>
  <functionGroups builtInGroupCount="18"/>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3" i="9" l="1"/>
  <c r="W3" i="9"/>
  <c r="U3" i="9"/>
  <c r="V3" i="9"/>
  <c r="T3" i="9"/>
  <c r="S3" i="9"/>
  <c r="P3" i="9"/>
  <c r="O3" i="9"/>
  <c r="R3" i="9"/>
  <c r="Q3" i="9"/>
  <c r="L73" i="9" l="1"/>
  <c r="L72" i="9"/>
  <c r="L71" i="9"/>
  <c r="L70" i="9"/>
  <c r="L69" i="9"/>
  <c r="L68" i="9"/>
  <c r="L67" i="9"/>
  <c r="L66" i="9"/>
  <c r="L65" i="9"/>
  <c r="L64" i="9"/>
  <c r="L63" i="9"/>
  <c r="L62" i="9"/>
  <c r="L61" i="9"/>
  <c r="L60" i="9"/>
  <c r="L59" i="9"/>
  <c r="L58" i="9"/>
  <c r="L57" i="9"/>
  <c r="L56" i="9"/>
  <c r="L55" i="9"/>
  <c r="L54" i="9"/>
  <c r="L53" i="9"/>
  <c r="L52" i="9"/>
  <c r="L51" i="9"/>
  <c r="L50" i="9"/>
  <c r="L49" i="9"/>
  <c r="L48" i="9"/>
  <c r="L47" i="9"/>
  <c r="L46" i="9"/>
  <c r="L45" i="9"/>
  <c r="L44" i="9"/>
  <c r="L43" i="9"/>
  <c r="L42" i="9"/>
  <c r="L41" i="9"/>
  <c r="L40" i="9"/>
  <c r="L39" i="9"/>
  <c r="L38" i="9"/>
  <c r="L37" i="9"/>
  <c r="L36" i="9"/>
  <c r="L35" i="9"/>
  <c r="L34" i="9"/>
  <c r="L33" i="9"/>
  <c r="L32" i="9"/>
  <c r="L31" i="9"/>
  <c r="L30" i="9"/>
  <c r="L29" i="9"/>
  <c r="L28" i="9"/>
  <c r="L27" i="9"/>
  <c r="L26" i="9"/>
  <c r="L25" i="9"/>
  <c r="L24" i="9"/>
  <c r="L23" i="9"/>
  <c r="L22" i="9"/>
  <c r="L21" i="9"/>
  <c r="L20" i="9"/>
  <c r="L19" i="9"/>
  <c r="L18" i="9"/>
  <c r="L17" i="9"/>
  <c r="L16" i="9"/>
  <c r="L15" i="9"/>
  <c r="L14" i="9"/>
  <c r="L13" i="9"/>
  <c r="L12" i="9"/>
  <c r="L11" i="9"/>
  <c r="L10" i="9"/>
  <c r="L9" i="9"/>
  <c r="L8" i="9"/>
  <c r="L7" i="9"/>
  <c r="L6" i="9"/>
  <c r="L5" i="9"/>
  <c r="L4" i="9"/>
  <c r="K73" i="9"/>
  <c r="K72" i="9"/>
  <c r="K71" i="9"/>
  <c r="K70" i="9"/>
  <c r="K69" i="9"/>
  <c r="K68" i="9"/>
  <c r="K67" i="9"/>
  <c r="K66" i="9"/>
  <c r="K65" i="9"/>
  <c r="K64" i="9"/>
  <c r="K63" i="9"/>
  <c r="K62" i="9"/>
  <c r="K61" i="9"/>
  <c r="K60" i="9"/>
  <c r="K59" i="9"/>
  <c r="K58" i="9"/>
  <c r="K57" i="9"/>
  <c r="K56" i="9"/>
  <c r="K55" i="9"/>
  <c r="K54" i="9"/>
  <c r="K53" i="9"/>
  <c r="K52" i="9"/>
  <c r="K51" i="9"/>
  <c r="K50" i="9"/>
  <c r="K49" i="9"/>
  <c r="K48" i="9"/>
  <c r="K47" i="9"/>
  <c r="K46" i="9"/>
  <c r="K45" i="9"/>
  <c r="K44" i="9"/>
  <c r="K43" i="9"/>
  <c r="K42" i="9"/>
  <c r="K41" i="9"/>
  <c r="K40" i="9"/>
  <c r="K39" i="9"/>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K6" i="9"/>
  <c r="K5" i="9"/>
  <c r="K4" i="9"/>
</calcChain>
</file>

<file path=xl/sharedStrings.xml><?xml version="1.0" encoding="utf-8"?>
<sst xmlns="http://schemas.openxmlformats.org/spreadsheetml/2006/main" count="804" uniqueCount="431">
  <si>
    <t>Create</t>
    <phoneticPr fontId="1"/>
  </si>
  <si>
    <t>立花証券株式会社</t>
    <rPh sb="0" eb="4">
      <t>タチバナショウケン</t>
    </rPh>
    <rPh sb="4" eb="6">
      <t>カブシキ</t>
    </rPh>
    <rPh sb="6" eb="8">
      <t>カイシャ</t>
    </rPh>
    <phoneticPr fontId="1"/>
  </si>
  <si>
    <t>Update</t>
    <phoneticPr fontId="1"/>
  </si>
  <si>
    <t>１．概要</t>
    <rPh sb="2" eb="4">
      <t>ガイヨウ</t>
    </rPh>
    <phoneticPr fontId="1"/>
  </si>
  <si>
    <t>本サンプルプログラムは立花証券・ｅ支店・ＡＰＩ（以下ｅ支店・ＡＰＩと呼ぶ）を</t>
    <rPh sb="0" eb="1">
      <t>ホン</t>
    </rPh>
    <rPh sb="11" eb="15">
      <t>タチバナショウケン</t>
    </rPh>
    <rPh sb="16" eb="19">
      <t>エシテン</t>
    </rPh>
    <rPh sb="24" eb="26">
      <t>イカ</t>
    </rPh>
    <rPh sb="34" eb="35">
      <t>ヨ</t>
    </rPh>
    <phoneticPr fontId="1"/>
  </si>
  <si>
    <t>２．目的</t>
    <rPh sb="2" eb="4">
      <t>モクテキ</t>
    </rPh>
    <phoneticPr fontId="1"/>
  </si>
  <si>
    <t>本サンプルプログラムはｅ支店・ＡＰＩを EXCEL (VBA) で利用するための専用モジュール、及び EXCEL 関数としての実装を提供し</t>
    <rPh sb="0" eb="1">
      <t>ホン</t>
    </rPh>
    <rPh sb="11" eb="14">
      <t>エシテン</t>
    </rPh>
    <rPh sb="33" eb="35">
      <t>リヨウ</t>
    </rPh>
    <rPh sb="40" eb="42">
      <t>センヨウ</t>
    </rPh>
    <rPh sb="48" eb="49">
      <t>オヨ</t>
    </rPh>
    <rPh sb="57" eb="59">
      <t>カンスウ</t>
    </rPh>
    <rPh sb="63" eb="65">
      <t>ジッソウ</t>
    </rPh>
    <rPh sb="66" eb="68">
      <t>テイキョウ</t>
    </rPh>
    <phoneticPr fontId="1"/>
  </si>
  <si>
    <t>EXCEL(VBA) でのｅ支店・ＡＰＩの使用方法を理解頂くための EXCEL ファイル（本ファイル）及び VBA 専用モジュールです。</t>
    <rPh sb="13" eb="16">
      <t>エシテン</t>
    </rPh>
    <rPh sb="21" eb="23">
      <t>シヨウ</t>
    </rPh>
    <rPh sb="23" eb="25">
      <t>ホウホウ</t>
    </rPh>
    <rPh sb="26" eb="28">
      <t>リカイ</t>
    </rPh>
    <rPh sb="28" eb="29">
      <t>イタダ</t>
    </rPh>
    <rPh sb="45" eb="46">
      <t>ホン</t>
    </rPh>
    <rPh sb="51" eb="52">
      <t>オヨ</t>
    </rPh>
    <rPh sb="58" eb="60">
      <t>センヨウ</t>
    </rPh>
    <phoneticPr fontId="1"/>
  </si>
  <si>
    <t>３．提供ファイル</t>
    <rPh sb="2" eb="4">
      <t>テイキョウ</t>
    </rPh>
    <phoneticPr fontId="1"/>
  </si>
  <si>
    <t>・・・・</t>
    <phoneticPr fontId="1"/>
  </si>
  <si>
    <t>本エクセルファイル。</t>
    <rPh sb="0" eb="1">
      <t>ホン</t>
    </rPh>
    <phoneticPr fontId="1"/>
  </si>
  <si>
    <t>JsonConverter (Specs.bas)</t>
    <phoneticPr fontId="1"/>
  </si>
  <si>
    <t>・・・・</t>
    <phoneticPr fontId="1"/>
  </si>
  <si>
    <t>VBA-JSON v2.3.1（https://github.com/VBA-tools/VBA-JSON/releases/tag/v2.3.1）モジュール。</t>
    <phoneticPr fontId="1"/>
  </si>
  <si>
    <t>４．動作環境</t>
    <rPh sb="2" eb="4">
      <t>ドウサ</t>
    </rPh>
    <rPh sb="4" eb="6">
      <t>カンキョウ</t>
    </rPh>
    <phoneticPr fontId="1"/>
  </si>
  <si>
    <t>以下環境について動作確認をしております。</t>
    <rPh sb="0" eb="2">
      <t>イカ</t>
    </rPh>
    <rPh sb="2" eb="4">
      <t>カンキョウ</t>
    </rPh>
    <rPh sb="8" eb="10">
      <t>ドウサ</t>
    </rPh>
    <rPh sb="10" eb="12">
      <t>カクニン</t>
    </rPh>
    <phoneticPr fontId="1"/>
  </si>
  <si>
    <t>５．免責事項</t>
    <rPh sb="2" eb="6">
      <t>メンセキジコウ</t>
    </rPh>
    <phoneticPr fontId="1"/>
  </si>
  <si>
    <t>本サンプルはｅ支店・ＡＰＩ の利用目的以外にはご使用頂けませんので、予めご了承願います。</t>
    <rPh sb="0" eb="1">
      <t>ホン</t>
    </rPh>
    <rPh sb="15" eb="17">
      <t>リヨウ</t>
    </rPh>
    <rPh sb="17" eb="19">
      <t>モクテキ</t>
    </rPh>
    <rPh sb="19" eb="21">
      <t>イガイ</t>
    </rPh>
    <rPh sb="24" eb="26">
      <t>シヨウ</t>
    </rPh>
    <rPh sb="26" eb="27">
      <t>イタダ</t>
    </rPh>
    <rPh sb="34" eb="35">
      <t>アラカジ</t>
    </rPh>
    <rPh sb="37" eb="39">
      <t>リョウショウ</t>
    </rPh>
    <rPh sb="39" eb="40">
      <t>ネガ</t>
    </rPh>
    <phoneticPr fontId="1"/>
  </si>
  <si>
    <t>VBA での JSON 文字列解析に VBA-JSON v2.3.1（https://github.com/VBA-tools/VBA-JSON/releases/tag/v2.3.1）（MIT License）を利用。</t>
    <rPh sb="12" eb="15">
      <t>モジレツ</t>
    </rPh>
    <rPh sb="15" eb="17">
      <t>カイセキ</t>
    </rPh>
    <rPh sb="107" eb="109">
      <t>リヨウ</t>
    </rPh>
    <phoneticPr fontId="1"/>
  </si>
  <si>
    <t>本サンプルはｅ支店・ＡＰＩを利用しております関係上、まず最初にｅ支店・ＡＰＩの利用に関する説明を専用ページにてご確認頂いた後</t>
    <rPh sb="0" eb="1">
      <t>ホン</t>
    </rPh>
    <rPh sb="6" eb="9">
      <t>エシテン</t>
    </rPh>
    <rPh sb="14" eb="16">
      <t>リヨウ</t>
    </rPh>
    <rPh sb="22" eb="25">
      <t>カンケイジョウ</t>
    </rPh>
    <rPh sb="28" eb="30">
      <t>サイショ</t>
    </rPh>
    <rPh sb="31" eb="34">
      <t>エシテン</t>
    </rPh>
    <rPh sb="39" eb="41">
      <t>リヨウ</t>
    </rPh>
    <rPh sb="42" eb="43">
      <t>カン</t>
    </rPh>
    <rPh sb="45" eb="47">
      <t>セツメイ</t>
    </rPh>
    <rPh sb="48" eb="50">
      <t>センヨウ</t>
    </rPh>
    <rPh sb="56" eb="58">
      <t>カクニン</t>
    </rPh>
    <rPh sb="58" eb="59">
      <t>イタダ</t>
    </rPh>
    <rPh sb="61" eb="62">
      <t>ノチ</t>
    </rPh>
    <phoneticPr fontId="1"/>
  </si>
  <si>
    <t>しかるべき条件や制限の範囲内でご利用頂くことが前提となりますので、本サンプルご利用前に専用ＨＰの記載をご一読願います。</t>
    <rPh sb="5" eb="7">
      <t>ジョウケン</t>
    </rPh>
    <rPh sb="8" eb="10">
      <t>セイゲン</t>
    </rPh>
    <rPh sb="11" eb="13">
      <t>ハンイ</t>
    </rPh>
    <rPh sb="13" eb="14">
      <t>ナイ</t>
    </rPh>
    <rPh sb="16" eb="18">
      <t>リヨウ</t>
    </rPh>
    <rPh sb="18" eb="19">
      <t>イタダ</t>
    </rPh>
    <rPh sb="23" eb="25">
      <t>ゼンテイ</t>
    </rPh>
    <rPh sb="33" eb="34">
      <t>ホン</t>
    </rPh>
    <rPh sb="39" eb="41">
      <t>リヨウ</t>
    </rPh>
    <rPh sb="41" eb="42">
      <t>マエ</t>
    </rPh>
    <rPh sb="43" eb="45">
      <t>センヨウ</t>
    </rPh>
    <rPh sb="48" eb="50">
      <t>キサイ</t>
    </rPh>
    <rPh sb="52" eb="54">
      <t>イチドク</t>
    </rPh>
    <rPh sb="54" eb="55">
      <t>ネガ</t>
    </rPh>
    <phoneticPr fontId="1"/>
  </si>
  <si>
    <t>本サンプルは「４．動作環境」記載の環境でのみ動作確認を行っております。</t>
    <rPh sb="0" eb="1">
      <t>ホン</t>
    </rPh>
    <rPh sb="9" eb="11">
      <t>ドウサ</t>
    </rPh>
    <rPh sb="11" eb="13">
      <t>カンキョウ</t>
    </rPh>
    <rPh sb="14" eb="16">
      <t>キサイ</t>
    </rPh>
    <rPh sb="17" eb="19">
      <t>カンキョウ</t>
    </rPh>
    <rPh sb="22" eb="24">
      <t>ドウサ</t>
    </rPh>
    <rPh sb="24" eb="26">
      <t>カクニン</t>
    </rPh>
    <rPh sb="27" eb="28">
      <t>オコナ</t>
    </rPh>
    <phoneticPr fontId="1"/>
  </si>
  <si>
    <t>その全ての組み合わせを検証することは不可能ですので、「４．動作環境」記載の環境でのご利用を推奨いたします。</t>
    <rPh sb="2" eb="3">
      <t>スベ</t>
    </rPh>
    <rPh sb="5" eb="6">
      <t>ク</t>
    </rPh>
    <rPh sb="7" eb="8">
      <t>ア</t>
    </rPh>
    <rPh sb="11" eb="13">
      <t>ケンショウ</t>
    </rPh>
    <rPh sb="18" eb="21">
      <t>フカノウ</t>
    </rPh>
    <rPh sb="29" eb="31">
      <t>ドウサ</t>
    </rPh>
    <rPh sb="31" eb="33">
      <t>カンキョウ</t>
    </rPh>
    <rPh sb="34" eb="36">
      <t>キサイ</t>
    </rPh>
    <rPh sb="37" eb="39">
      <t>カンキョウ</t>
    </rPh>
    <rPh sb="42" eb="44">
      <t>リヨウ</t>
    </rPh>
    <rPh sb="45" eb="47">
      <t>スイショウ</t>
    </rPh>
    <phoneticPr fontId="1"/>
  </si>
  <si>
    <t>EXCEL 及び VBA のご利用方法については該当商品の説明資料等を参照願います。</t>
    <rPh sb="6" eb="7">
      <t>オヨ</t>
    </rPh>
    <rPh sb="15" eb="17">
      <t>リヨウ</t>
    </rPh>
    <rPh sb="17" eb="19">
      <t>ホウホウ</t>
    </rPh>
    <rPh sb="24" eb="26">
      <t>ガイトウ</t>
    </rPh>
    <rPh sb="26" eb="28">
      <t>ショウヒン</t>
    </rPh>
    <rPh sb="29" eb="31">
      <t>セツメイ</t>
    </rPh>
    <rPh sb="31" eb="33">
      <t>シリョウ</t>
    </rPh>
    <rPh sb="33" eb="34">
      <t>トウ</t>
    </rPh>
    <rPh sb="35" eb="37">
      <t>サンショウ</t>
    </rPh>
    <rPh sb="37" eb="38">
      <t>ネガ</t>
    </rPh>
    <phoneticPr fontId="1"/>
  </si>
  <si>
    <t>そのため、ｅ支店・ＡＰＩのバージョンアップにより本サンプルがご利用になれなくなる場合がございますので予めご了承願います。</t>
    <rPh sb="5" eb="8">
      <t>エシテン</t>
    </rPh>
    <rPh sb="24" eb="25">
      <t>ホン</t>
    </rPh>
    <rPh sb="31" eb="33">
      <t>リヨウ</t>
    </rPh>
    <rPh sb="40" eb="42">
      <t>バアイ</t>
    </rPh>
    <rPh sb="50" eb="51">
      <t>アラカジ</t>
    </rPh>
    <rPh sb="53" eb="55">
      <t>リョウショウ</t>
    </rPh>
    <rPh sb="55" eb="56">
      <t>ネガ</t>
    </rPh>
    <phoneticPr fontId="1"/>
  </si>
  <si>
    <t>※ｅ支店・ＡＰＩのバージョンアップに合わせ本サンプルもアップデートを行うかもしれませんが、現時点では未確定です。</t>
    <rPh sb="1" eb="4">
      <t>エシテン</t>
    </rPh>
    <rPh sb="18" eb="19">
      <t>ア</t>
    </rPh>
    <rPh sb="21" eb="22">
      <t>ホン</t>
    </rPh>
    <rPh sb="34" eb="35">
      <t>オコナ</t>
    </rPh>
    <rPh sb="45" eb="48">
      <t>ゲンジテン</t>
    </rPh>
    <rPh sb="50" eb="53">
      <t>ミカクテイ</t>
    </rPh>
    <phoneticPr fontId="1"/>
  </si>
  <si>
    <t>６．利用方法</t>
    <rPh sb="2" eb="6">
      <t>リヨウホウホウ</t>
    </rPh>
    <phoneticPr fontId="1"/>
  </si>
  <si>
    <t>EXCELのメニューからファイル－＞オプション－＞リボンのユーザ設定で開発にチェックを入れる。結果メニューに「開発」が表示されます。</t>
    <rPh sb="32" eb="34">
      <t>セッテイ</t>
    </rPh>
    <rPh sb="35" eb="37">
      <t>カイハツ</t>
    </rPh>
    <rPh sb="43" eb="44">
      <t>イ</t>
    </rPh>
    <rPh sb="47" eb="49">
      <t>ケッカ</t>
    </rPh>
    <rPh sb="55" eb="57">
      <t>カイハツ</t>
    </rPh>
    <rPh sb="59" eb="61">
      <t>ヒョウジ</t>
    </rPh>
    <phoneticPr fontId="1"/>
  </si>
  <si>
    <t>開発－＞Visual Basic を選択、標準モジュールに上記「３．提供ファイル」、2,3 のモジュールを追加します。</t>
    <rPh sb="0" eb="2">
      <t>カイハツ</t>
    </rPh>
    <rPh sb="18" eb="20">
      <t>センタク</t>
    </rPh>
    <rPh sb="21" eb="23">
      <t>ヒョウジュン</t>
    </rPh>
    <rPh sb="29" eb="31">
      <t>ジョウキ</t>
    </rPh>
    <rPh sb="34" eb="36">
      <t>テイキョウ</t>
    </rPh>
    <rPh sb="53" eb="55">
      <t>ツイカ</t>
    </rPh>
    <phoneticPr fontId="1"/>
  </si>
  <si>
    <t>VBA のメニュー「ツールー＞参照設定」で以下２つをチェック（参照設定）します。</t>
    <rPh sb="15" eb="17">
      <t>サンショウ</t>
    </rPh>
    <rPh sb="17" eb="19">
      <t>セッテイ</t>
    </rPh>
    <rPh sb="21" eb="23">
      <t>イカ</t>
    </rPh>
    <rPh sb="31" eb="33">
      <t>サンショウ</t>
    </rPh>
    <rPh sb="33" eb="35">
      <t>セッテイ</t>
    </rPh>
    <phoneticPr fontId="1"/>
  </si>
  <si>
    <t>・Microsoft XML, v6.0</t>
    <phoneticPr fontId="1"/>
  </si>
  <si>
    <t>・Microsoft Scripting Runtime</t>
    <phoneticPr fontId="1"/>
  </si>
  <si>
    <t>※EXCEL を新規にインストールした状態で動作確認をしておりますので、EXECEL の各種設定等を変更されている場合は初期状態に戻しご利用下さい。</t>
    <rPh sb="8" eb="10">
      <t>シンキ</t>
    </rPh>
    <rPh sb="19" eb="21">
      <t>ジョウタイ</t>
    </rPh>
    <rPh sb="22" eb="24">
      <t>ドウサ</t>
    </rPh>
    <rPh sb="24" eb="26">
      <t>カクニン</t>
    </rPh>
    <rPh sb="44" eb="46">
      <t>カクシュ</t>
    </rPh>
    <rPh sb="46" eb="48">
      <t>セッテイ</t>
    </rPh>
    <rPh sb="48" eb="49">
      <t>トウ</t>
    </rPh>
    <rPh sb="50" eb="52">
      <t>ヘンコウ</t>
    </rPh>
    <rPh sb="57" eb="59">
      <t>バアイ</t>
    </rPh>
    <rPh sb="60" eb="64">
      <t>ショキジョウタイ</t>
    </rPh>
    <rPh sb="65" eb="66">
      <t>モド</t>
    </rPh>
    <rPh sb="68" eb="70">
      <t>リヨウ</t>
    </rPh>
    <rPh sb="70" eb="71">
      <t>クダ</t>
    </rPh>
    <phoneticPr fontId="1"/>
  </si>
  <si>
    <t>その他、各種資料については「立花証券・ｅ支店・ＡＰＩ専用ページ」、「５．マニュアル」を参照ください。</t>
    <rPh sb="2" eb="3">
      <t>タ</t>
    </rPh>
    <rPh sb="4" eb="6">
      <t>カクシュ</t>
    </rPh>
    <rPh sb="6" eb="8">
      <t>シリョウ</t>
    </rPh>
    <rPh sb="43" eb="45">
      <t>サンショウ</t>
    </rPh>
    <phoneticPr fontId="1"/>
  </si>
  <si>
    <t>ログインＩＤ</t>
    <phoneticPr fontId="1"/>
  </si>
  <si>
    <t>ログイン用パスワード（第1）</t>
    <rPh sb="4" eb="5">
      <t>ヨウ</t>
    </rPh>
    <rPh sb="11" eb="12">
      <t>ダイ</t>
    </rPh>
    <phoneticPr fontId="1"/>
  </si>
  <si>
    <t>注文用パスワード1（第２）</t>
    <rPh sb="0" eb="3">
      <t>チュウモンヨウ</t>
    </rPh>
    <rPh sb="10" eb="11">
      <t>ダイ</t>
    </rPh>
    <phoneticPr fontId="1"/>
  </si>
  <si>
    <t>api接続url</t>
    <rPh sb="3" eb="5">
      <t>セツゾク</t>
    </rPh>
    <phoneticPr fontId="1"/>
  </si>
  <si>
    <t>営業日</t>
    <rPh sb="0" eb="3">
      <t>エイギョウビ</t>
    </rPh>
    <phoneticPr fontId="1"/>
  </si>
  <si>
    <t>sJsonOfmt（json表示形式）</t>
    <rPh sb="14" eb="18">
      <t>ヒョウジケイシキ</t>
    </rPh>
    <phoneticPr fontId="1"/>
  </si>
  <si>
    <t>string型</t>
    <rPh sb="6" eb="7">
      <t>ガタ</t>
    </rPh>
    <phoneticPr fontId="1"/>
  </si>
  <si>
    <t>入力</t>
    <rPh sb="0" eb="2">
      <t>ニュウリョク</t>
    </rPh>
    <phoneticPr fontId="1"/>
  </si>
  <si>
    <t>項目名</t>
    <rPh sb="0" eb="3">
      <t>コウモクメイ</t>
    </rPh>
    <phoneticPr fontId="1"/>
  </si>
  <si>
    <t>備考</t>
    <rPh sb="0" eb="2">
      <t>ビコウ</t>
    </rPh>
    <phoneticPr fontId="1"/>
  </si>
  <si>
    <t>p_errno</t>
  </si>
  <si>
    <t>sCLMID</t>
  </si>
  <si>
    <t>sResultCode</t>
  </si>
  <si>
    <t>sResultText</t>
  </si>
  <si>
    <t>立花証券・ｅ支店・ＡＰＩサンプルプログラム（vba）。</t>
    <rPh sb="0" eb="2">
      <t>タチバナ</t>
    </rPh>
    <rPh sb="2" eb="4">
      <t>ショウケン</t>
    </rPh>
    <rPh sb="5" eb="8">
      <t>エシテン</t>
    </rPh>
    <phoneticPr fontId="1"/>
  </si>
  <si>
    <t>Microsoft EXCEL(VBA) （以下 EXCEL または VBA と呼ぶ）から利用するサンプルプログラムです。</t>
    <phoneticPr fontId="1"/>
  </si>
  <si>
    <t>Microsoft Windows10 Professional 64bit、EXCEL 2016.</t>
    <phoneticPr fontId="1"/>
  </si>
  <si>
    <t>提供ファイルについての利用方法等々のサポートは一切ございませんので予めご了承願います。</t>
    <rPh sb="0" eb="2">
      <t>テイキョウ</t>
    </rPh>
    <rPh sb="11" eb="15">
      <t>リヨウホウホウ</t>
    </rPh>
    <rPh sb="15" eb="17">
      <t>トウトウ</t>
    </rPh>
    <rPh sb="33" eb="34">
      <t>アラカジ</t>
    </rPh>
    <rPh sb="36" eb="38">
      <t>リョウショウ</t>
    </rPh>
    <rPh sb="38" eb="39">
      <t>ネガ</t>
    </rPh>
    <phoneticPr fontId="1"/>
  </si>
  <si>
    <t>2022.03.09</t>
    <phoneticPr fontId="1"/>
  </si>
  <si>
    <t>実際の銘柄コードを入れてください。</t>
    <phoneticPr fontId="1"/>
  </si>
  <si>
    <t>00:東証   現在(2021/07/01)、東証のみ可能。</t>
    <phoneticPr fontId="1"/>
  </si>
  <si>
    <t>0:指定なし、2:寄付、4:引け、6:不成。指し値は、0:指定なし。</t>
    <phoneticPr fontId="1"/>
  </si>
  <si>
    <t>*:指定なし、0:成行、上記以外は、注文値段。小数点については、関連資料:「立花証券・e支店・API、REQUEST I/F、マスタデータ利用方法」の「2-12. 呼値」参照。</t>
    <phoneticPr fontId="1"/>
  </si>
  <si>
    <t>10.銘柄コード</t>
    <phoneticPr fontId="1"/>
  </si>
  <si>
    <t>11.市場</t>
    <phoneticPr fontId="1"/>
  </si>
  <si>
    <t>13.執行条件</t>
    <phoneticPr fontId="1"/>
  </si>
  <si>
    <t>14.注文値段</t>
    <phoneticPr fontId="1"/>
  </si>
  <si>
    <t>00</t>
    <phoneticPr fontId="1"/>
  </si>
  <si>
    <t>注文受付番号</t>
    <rPh sb="0" eb="2">
      <t>チュウモン</t>
    </rPh>
    <rPh sb="2" eb="6">
      <t>ウケツケバンゴウ</t>
    </rPh>
    <phoneticPr fontId="1"/>
  </si>
  <si>
    <t>APIからの返信（注文取消で利用する。）</t>
    <rPh sb="6" eb="8">
      <t>ヘンシン</t>
    </rPh>
    <rPh sb="9" eb="13">
      <t>チュウモントリケ</t>
    </rPh>
    <rPh sb="14" eb="16">
      <t>リヨウ</t>
    </rPh>
    <phoneticPr fontId="1"/>
  </si>
  <si>
    <t>注文結果（sResultCode）</t>
    <rPh sb="0" eb="4">
      <t>チュウモンケッカ</t>
    </rPh>
    <phoneticPr fontId="1"/>
  </si>
  <si>
    <t>0: 正常に注文が処理された。0以外: 注文がエラーとなった。</t>
    <rPh sb="3" eb="5">
      <t>セイジョウ</t>
    </rPh>
    <rPh sb="6" eb="8">
      <t>チュウモン</t>
    </rPh>
    <rPh sb="9" eb="11">
      <t>ショリ</t>
    </rPh>
    <rPh sb="16" eb="18">
      <t>イガイ</t>
    </rPh>
    <rPh sb="20" eb="22">
      <t>チュウモン</t>
    </rPh>
    <phoneticPr fontId="1"/>
  </si>
  <si>
    <t>＊危険＊　実際に発注されます。市場で約定した場合取り消せません。</t>
    <rPh sb="1" eb="3">
      <t>キケン</t>
    </rPh>
    <rPh sb="5" eb="7">
      <t>ジッサイ</t>
    </rPh>
    <rPh sb="8" eb="10">
      <t>ハッチュウ</t>
    </rPh>
    <rPh sb="15" eb="17">
      <t>シジョウ</t>
    </rPh>
    <rPh sb="18" eb="20">
      <t>ヤクジョウ</t>
    </rPh>
    <rPh sb="22" eb="24">
      <t>バアイ</t>
    </rPh>
    <rPh sb="24" eb="25">
      <t>ト</t>
    </rPh>
    <rPh sb="26" eb="27">
      <t>ケ</t>
    </rPh>
    <phoneticPr fontId="1"/>
  </si>
  <si>
    <t>取り消したい注文を標準Webの注文照会画面より転記する</t>
    <rPh sb="0" eb="1">
      <t>ト</t>
    </rPh>
    <rPh sb="2" eb="3">
      <t>ケ</t>
    </rPh>
    <rPh sb="6" eb="8">
      <t>チュウモン</t>
    </rPh>
    <rPh sb="9" eb="11">
      <t>ヒョウジュン</t>
    </rPh>
    <rPh sb="15" eb="21">
      <t>チュウモンショウカイガメン</t>
    </rPh>
    <rPh sb="23" eb="25">
      <t>テンキ</t>
    </rPh>
    <phoneticPr fontId="1"/>
  </si>
  <si>
    <t>＊危険　　実際に取消されます。</t>
    <rPh sb="1" eb="3">
      <t>キケン</t>
    </rPh>
    <rPh sb="5" eb="7">
      <t>ジッサイ</t>
    </rPh>
    <rPh sb="8" eb="10">
      <t>トリケシ</t>
    </rPh>
    <phoneticPr fontId="1"/>
  </si>
  <si>
    <t xml:space="preserve"> </t>
    <phoneticPr fontId="1"/>
  </si>
  <si>
    <t>APIからの返信</t>
    <rPh sb="6" eb="8">
      <t>ヘンシン</t>
    </rPh>
    <phoneticPr fontId="1"/>
  </si>
  <si>
    <t>＊危険　全ての注文が取消されます。</t>
    <rPh sb="1" eb="3">
      <t>キケン</t>
    </rPh>
    <rPh sb="4" eb="5">
      <t>スベ</t>
    </rPh>
    <rPh sb="7" eb="9">
      <t>チュウモン</t>
    </rPh>
    <rPh sb="10" eb="12">
      <t>トリケシ</t>
    </rPh>
    <phoneticPr fontId="1"/>
  </si>
  <si>
    <t>実際の銘柄コードを入れてください。</t>
    <phoneticPr fontId="1"/>
  </si>
  <si>
    <t>00</t>
    <phoneticPr fontId="1"/>
  </si>
  <si>
    <t>00:東証   現在(2021/07/01)、東証のみ可能。</t>
    <phoneticPr fontId="1"/>
  </si>
  <si>
    <t>0:指定なし、2:寄付、4:引け、6:不成。指し値は、0:指定なし。</t>
    <phoneticPr fontId="1"/>
  </si>
  <si>
    <t>*:指定なし、0:成行、上記以外は、注文値段。小数点については、関連資料:「立花証券・e支店・API、REQUEST I/F、マスタデータ利用方法」の「2-12. 呼値」参照。</t>
    <phoneticPr fontId="1"/>
  </si>
  <si>
    <t>logout</t>
    <phoneticPr fontId="1"/>
  </si>
  <si>
    <t>login</t>
    <phoneticPr fontId="1"/>
  </si>
  <si>
    <t>入力項目</t>
    <rPh sb="0" eb="2">
      <t>ニュウリョク</t>
    </rPh>
    <rPh sb="2" eb="4">
      <t>コウモク</t>
    </rPh>
    <phoneticPr fontId="1"/>
  </si>
  <si>
    <t>15.注文数量</t>
    <phoneticPr fontId="1"/>
  </si>
  <si>
    <t>CLMKabuCancelOrder</t>
  </si>
  <si>
    <t>CLMKabuCancelOrderAll</t>
  </si>
  <si>
    <t>CLMKabuNewOrder</t>
  </si>
  <si>
    <t>モジュール名</t>
    <rPh sb="5" eb="6">
      <t>メイ</t>
    </rPh>
    <phoneticPr fontId="1"/>
  </si>
  <si>
    <t>プロシージャー名</t>
    <rPh sb="7" eb="8">
      <t>メイ</t>
    </rPh>
    <phoneticPr fontId="1"/>
  </si>
  <si>
    <t>照会_現物_買付可能額</t>
    <phoneticPr fontId="1"/>
  </si>
  <si>
    <t>照会_信用_新規建可能額</t>
  </si>
  <si>
    <t>照会_注文約定一覧</t>
    <rPh sb="3" eb="7">
      <t>チュウモンヤクジョウ</t>
    </rPh>
    <rPh sb="7" eb="9">
      <t>イチラン</t>
    </rPh>
    <phoneticPr fontId="1"/>
  </si>
  <si>
    <t>get_order_list</t>
  </si>
  <si>
    <t>get_order_list_detail</t>
    <phoneticPr fontId="1"/>
  </si>
  <si>
    <t>CLMOrderListDetail</t>
  </si>
  <si>
    <t>sOrderNumber（0～99999999、左詰め、マイナスの場合なし）</t>
    <phoneticPr fontId="1"/>
  </si>
  <si>
    <t>sEigyouDay（"YYYYMMDD"）</t>
    <phoneticPr fontId="1"/>
  </si>
  <si>
    <t>注文番号</t>
  </si>
  <si>
    <t>営業日</t>
  </si>
  <si>
    <t>照会_注文約定_詳細</t>
    <rPh sb="3" eb="7">
      <t>チュウモンヤクジョウ</t>
    </rPh>
    <rPh sb="8" eb="10">
      <t>ショウサイ</t>
    </rPh>
    <phoneticPr fontId="1"/>
  </si>
  <si>
    <t xml:space="preserve">4.sOrderNumber 注文番号 </t>
    <phoneticPr fontId="1"/>
  </si>
  <si>
    <t>5.sEigyouDay 営業日</t>
    <phoneticPr fontId="1"/>
  </si>
  <si>
    <t>6.sCondition 執行条件</t>
    <phoneticPr fontId="1"/>
  </si>
  <si>
    <t>*：変更なし 0：指定なし 2：寄付 4：引け 6：不成</t>
  </si>
  <si>
    <t>7.sOrderPrice 注文値段</t>
    <phoneticPr fontId="1"/>
  </si>
  <si>
    <t>*：変更なし、 0：成行に変更、 訂正注文値段：指値を変更</t>
    <phoneticPr fontId="1"/>
  </si>
  <si>
    <t>営業日（YYYYMMDD）</t>
  </si>
  <si>
    <t>新規注文の応答の該当項目。注文約定一覧のsOrderOrderNumber。</t>
    <rPh sb="13" eb="19">
      <t>チュウモンヤクジョウイチラン</t>
    </rPh>
    <phoneticPr fontId="1"/>
  </si>
  <si>
    <t>8.sOrderSuryou 注文数量</t>
    <phoneticPr fontId="1"/>
  </si>
  <si>
    <t>*</t>
    <phoneticPr fontId="1"/>
  </si>
  <si>
    <t>CLMKabuCorrectOrder</t>
  </si>
  <si>
    <t>注文受付番号 sOrderNumber</t>
    <rPh sb="0" eb="2">
      <t>チュウモン</t>
    </rPh>
    <rPh sb="2" eb="6">
      <t>ウケツケバンゴウ</t>
    </rPh>
    <phoneticPr fontId="1"/>
  </si>
  <si>
    <t>営業日 sEigyouDay</t>
    <rPh sb="0" eb="3">
      <t>エイギョウビ</t>
    </rPh>
    <phoneticPr fontId="1"/>
  </si>
  <si>
    <t>訂正したい注文を標準Webの注文照会画面より転記する</t>
    <rPh sb="0" eb="2">
      <t>テイセイ</t>
    </rPh>
    <rPh sb="5" eb="7">
      <t>チュウモン</t>
    </rPh>
    <rPh sb="8" eb="10">
      <t>ヒョウジュン</t>
    </rPh>
    <rPh sb="14" eb="20">
      <t>チュウモンショウカイガメン</t>
    </rPh>
    <rPh sb="22" eb="24">
      <t>テンキ</t>
    </rPh>
    <phoneticPr fontId="1"/>
  </si>
  <si>
    <t>*：変更なし、 訂正数量：数量を変更（増株不可）。 ※訂正数量には、内出来を含んだ数量を指定</t>
    <phoneticPr fontId="1"/>
  </si>
  <si>
    <t xml:space="preserve"> </t>
    <phoneticPr fontId="1"/>
  </si>
  <si>
    <t>現物_預り株一覧</t>
    <rPh sb="0" eb="2">
      <t>ゲンブツ</t>
    </rPh>
    <rPh sb="3" eb="4">
      <t>アズカ</t>
    </rPh>
    <rPh sb="5" eb="6">
      <t>カブ</t>
    </rPh>
    <rPh sb="6" eb="8">
      <t>イチラン</t>
    </rPh>
    <phoneticPr fontId="1"/>
  </si>
  <si>
    <t>CLMGenbutuKabuList</t>
  </si>
  <si>
    <t>現物_買い注文</t>
    <rPh sb="0" eb="2">
      <t>ゲンブツ</t>
    </rPh>
    <rPh sb="3" eb="4">
      <t>カ</t>
    </rPh>
    <rPh sb="5" eb="7">
      <t>チュウモン</t>
    </rPh>
    <phoneticPr fontId="1"/>
  </si>
  <si>
    <t>order_gen_buy</t>
    <phoneticPr fontId="1"/>
  </si>
  <si>
    <t>現物_取消</t>
  </si>
  <si>
    <t>cancel_order</t>
  </si>
  <si>
    <t>cancel_all_order</t>
  </si>
  <si>
    <t>現物_訂正</t>
  </si>
  <si>
    <t>現物_売り注文</t>
  </si>
  <si>
    <t>order_gen_sell</t>
  </si>
  <si>
    <t>注）取消は、現物信用の区別がない。</t>
    <rPh sb="0" eb="1">
      <t>チュウ</t>
    </rPh>
    <rPh sb="2" eb="4">
      <t>トリケシ</t>
    </rPh>
    <rPh sb="6" eb="10">
      <t>ゲンブツシンヨウ</t>
    </rPh>
    <rPh sb="11" eb="13">
      <t>クベツ</t>
    </rPh>
    <phoneticPr fontId="1"/>
  </si>
  <si>
    <t>注）訂正は、現物信用の区別がない。</t>
    <rPh sb="0" eb="1">
      <t>チュウ</t>
    </rPh>
    <rPh sb="2" eb="4">
      <t>テイセイ</t>
    </rPh>
    <rPh sb="6" eb="10">
      <t>ゲンブツシンヨウ</t>
    </rPh>
    <rPh sb="11" eb="13">
      <t>クベツ</t>
    </rPh>
    <phoneticPr fontId="1"/>
  </si>
  <si>
    <t>注）一括取消は、現物信用の区別がない。</t>
    <rPh sb="0" eb="1">
      <t>チュウ</t>
    </rPh>
    <rPh sb="2" eb="4">
      <t>イッカツ</t>
    </rPh>
    <rPh sb="4" eb="6">
      <t>トリケシ</t>
    </rPh>
    <rPh sb="8" eb="12">
      <t>ゲンブツシンヨウ</t>
    </rPh>
    <rPh sb="13" eb="15">
      <t>クベツ</t>
    </rPh>
    <phoneticPr fontId="1"/>
  </si>
  <si>
    <t>信用_新規_買い注文</t>
  </si>
  <si>
    <t>order_shinki_buy</t>
  </si>
  <si>
    <t>10.銘柄コード sIssueCode</t>
    <phoneticPr fontId="1"/>
  </si>
  <si>
    <t>11.市場 sSizyouC</t>
    <phoneticPr fontId="1"/>
  </si>
  <si>
    <t>13.執行条件 sCondition</t>
    <phoneticPr fontId="1"/>
  </si>
  <si>
    <t>14.注文値段 sOrderPrice</t>
    <phoneticPr fontId="1"/>
  </si>
  <si>
    <t>15.注文数量 sOrderSuryou</t>
    <phoneticPr fontId="1"/>
  </si>
  <si>
    <t>信用_新規_売り注文</t>
    <rPh sb="6" eb="7">
      <t>ウ</t>
    </rPh>
    <phoneticPr fontId="1"/>
  </si>
  <si>
    <t>order_shinki_sell</t>
    <phoneticPr fontId="1"/>
  </si>
  <si>
    <t>信用_返済_買い注文</t>
    <rPh sb="3" eb="5">
      <t>ヘンサイ</t>
    </rPh>
    <phoneticPr fontId="1"/>
  </si>
  <si>
    <t>order_hensai_buy</t>
    <phoneticPr fontId="1"/>
  </si>
  <si>
    <t>信用_返済_売り注文</t>
    <rPh sb="3" eb="5">
      <t>ヘンサイ</t>
    </rPh>
    <rPh sb="6" eb="7">
      <t>ウ</t>
    </rPh>
    <phoneticPr fontId="1"/>
  </si>
  <si>
    <t>order_hensai_sell</t>
    <phoneticPr fontId="1"/>
  </si>
  <si>
    <t>信用_建玉一覧</t>
    <rPh sb="0" eb="2">
      <t>シンヨウ</t>
    </rPh>
    <rPh sb="3" eb="5">
      <t>タテギョク</t>
    </rPh>
    <rPh sb="5" eb="7">
      <t>イチラン</t>
    </rPh>
    <phoneticPr fontId="1"/>
  </si>
  <si>
    <t>get_CLMShinyouTategyokuList</t>
  </si>
  <si>
    <t>銘柄コード：指定銘柄のみ取得</t>
    <rPh sb="0" eb="2">
      <t>メイガラ</t>
    </rPh>
    <rPh sb="6" eb="10">
      <t>シテイメイガラ</t>
    </rPh>
    <rPh sb="12" eb="14">
      <t>シュトク</t>
    </rPh>
    <phoneticPr fontId="1"/>
  </si>
  <si>
    <t>空欄：全建玉の取得</t>
    <rPh sb="0" eb="1">
      <t>クウラン</t>
    </rPh>
    <rPh sb="3" eb="4">
      <t>ゼン</t>
    </rPh>
    <rPh sb="4" eb="6">
      <t>タテギョク</t>
    </rPh>
    <rPh sb="6" eb="8">
      <t>シュトク</t>
    </rPh>
    <phoneticPr fontId="1"/>
  </si>
  <si>
    <t>注2）建日順の返済。</t>
    <rPh sb="0" eb="1">
      <t>チュウ</t>
    </rPh>
    <rPh sb="3" eb="4">
      <t>タ</t>
    </rPh>
    <rPh sb="4" eb="5">
      <t>ヒ</t>
    </rPh>
    <rPh sb="5" eb="6">
      <t>ジュン</t>
    </rPh>
    <rPh sb="7" eb="9">
      <t>ヘンサイ</t>
    </rPh>
    <phoneticPr fontId="1"/>
  </si>
  <si>
    <t>注1）制度信用6ヶ月の注文。一般信用はパラメーターの修正が必要。</t>
    <rPh sb="0" eb="1">
      <t>チュウ</t>
    </rPh>
    <rPh sb="11" eb="13">
      <t>チュウモン</t>
    </rPh>
    <rPh sb="14" eb="18">
      <t>イッパンシンヨウ</t>
    </rPh>
    <rPh sb="26" eb="28">
      <t>シュウセイ</t>
    </rPh>
    <rPh sb="29" eb="31">
      <t>ヒツヨウ</t>
    </rPh>
    <phoneticPr fontId="1"/>
  </si>
  <si>
    <t>新規建玉番号</t>
  </si>
  <si>
    <t>建日順位</t>
  </si>
  <si>
    <t>注文数量</t>
  </si>
  <si>
    <t>CLMShinyouTategyokuListのsOrderTategyokuNumber</t>
  </si>
  <si>
    <t>sTatebiZyuni</t>
  </si>
  <si>
    <t>sOrderSuryou</t>
  </si>
  <si>
    <t>CLMShinyouTategyokuList</t>
  </si>
  <si>
    <t>↑APIの建玉一覧で取得する</t>
    <rPh sb="5" eb="9">
      <t>タテギョクイチラン</t>
    </rPh>
    <rPh sb="10" eb="12">
      <t>シュトク</t>
    </rPh>
    <phoneticPr fontId="1"/>
  </si>
  <si>
    <t xml:space="preserve">28.返済リスト aCLMKabuHensaiData </t>
    <phoneticPr fontId="1"/>
  </si>
  <si>
    <t>データ入力セル</t>
    <rPh sb="3" eb="5">
      <t>ニュウリョク</t>
    </rPh>
    <phoneticPr fontId="1"/>
  </si>
  <si>
    <t>CLMZanKaiKanougaku</t>
  </si>
  <si>
    <t>CLMZanShinkiKanoIjiritu</t>
  </si>
  <si>
    <t>CLMOrderList</t>
  </si>
  <si>
    <t>シート「設定」の色付きセルに接続先URL等必要な情報をテキストで記入する。</t>
    <rPh sb="4" eb="6">
      <t>セッテイ</t>
    </rPh>
    <rPh sb="8" eb="10">
      <t>イロツ</t>
    </rPh>
    <rPh sb="14" eb="17">
      <t>セツゾクサキ</t>
    </rPh>
    <rPh sb="20" eb="21">
      <t>トウ</t>
    </rPh>
    <rPh sb="21" eb="23">
      <t>ヒツヨウ</t>
    </rPh>
    <rPh sb="24" eb="26">
      <t>ジョウホウ</t>
    </rPh>
    <rPh sb="32" eb="34">
      <t>キニュウ</t>
    </rPh>
    <phoneticPr fontId="1"/>
  </si>
  <si>
    <t>シート「照会」「現物」「信用」の各ボタンを押して起動してください。</t>
    <rPh sb="4" eb="6">
      <t>ショウカイ</t>
    </rPh>
    <rPh sb="8" eb="10">
      <t>ゲンブツ</t>
    </rPh>
    <rPh sb="12" eb="14">
      <t>シンヨウ</t>
    </rPh>
    <rPh sb="16" eb="17">
      <t>カク</t>
    </rPh>
    <rPh sb="21" eb="22">
      <t>オ</t>
    </rPh>
    <rPh sb="24" eb="26">
      <t>キドウ</t>
    </rPh>
    <phoneticPr fontId="1"/>
  </si>
  <si>
    <t>注文のプログラムは、実際に発注しますので、市場で約定した場合取り消せません。十分に注意してご利用ください。</t>
    <rPh sb="0" eb="2">
      <t>チュウモン</t>
    </rPh>
    <rPh sb="10" eb="12">
      <t>ジッサイ</t>
    </rPh>
    <rPh sb="13" eb="15">
      <t>ハッチュウ</t>
    </rPh>
    <rPh sb="21" eb="23">
      <t>シジョウ</t>
    </rPh>
    <rPh sb="24" eb="26">
      <t>ヤクジョウ</t>
    </rPh>
    <rPh sb="28" eb="30">
      <t>バアイ</t>
    </rPh>
    <rPh sb="30" eb="31">
      <t>ト</t>
    </rPh>
    <rPh sb="32" eb="33">
      <t>ケ</t>
    </rPh>
    <rPh sb="38" eb="40">
      <t>ジュウブン</t>
    </rPh>
    <rPh sb="41" eb="43">
      <t>チュウイ</t>
    </rPh>
    <rPh sb="46" eb="48">
      <t>リヨウ</t>
    </rPh>
    <phoneticPr fontId="1"/>
  </si>
  <si>
    <t>e_api_注文訂正取消サンプル.xlsm</t>
  </si>
  <si>
    <t>e_api_共通</t>
  </si>
  <si>
    <t>Login</t>
  </si>
  <si>
    <t>Logout</t>
    <phoneticPr fontId="1"/>
  </si>
  <si>
    <t>現物_一括取消</t>
    <rPh sb="0" eb="2">
      <t>ゲンブツ</t>
    </rPh>
    <rPh sb="3" eb="7">
      <t>イッカツトリケシ</t>
    </rPh>
    <phoneticPr fontId="1"/>
  </si>
  <si>
    <t>現物_買い注文</t>
  </si>
  <si>
    <t>現物_預り株一覧</t>
  </si>
  <si>
    <t>照会_現物_買付可能額</t>
  </si>
  <si>
    <t>照会_注文約定一覧</t>
  </si>
  <si>
    <t>get_CLMOrderList</t>
  </si>
  <si>
    <t>照会_注文約定一覧_詳細</t>
  </si>
  <si>
    <t>get_CLMOrderListDetail</t>
  </si>
  <si>
    <t>信用_建玉一覧</t>
  </si>
  <si>
    <t>信用_新規_売り注文</t>
  </si>
  <si>
    <t>order_shinki_sell</t>
  </si>
  <si>
    <t>信用_返済_買い注文</t>
  </si>
  <si>
    <t>order_hensai_buy</t>
  </si>
  <si>
    <t>信用_返済_売り注文</t>
  </si>
  <si>
    <t>order_hensai_sell</t>
  </si>
  <si>
    <t>信用_返済_売り注文_個別指定</t>
  </si>
  <si>
    <t>order_hensai_sell_aCLMKabuHensaiData</t>
  </si>
  <si>
    <t>個別機能</t>
    <rPh sb="0" eb="4">
      <t>コベツキノウ</t>
    </rPh>
    <phoneticPr fontId="1"/>
  </si>
  <si>
    <t>標準モジュール オブジェクト名</t>
    <rPh sb="0" eb="2">
      <t>ヒョウジュン</t>
    </rPh>
    <rPh sb="14" eb="15">
      <t>メイ</t>
    </rPh>
    <phoneticPr fontId="1"/>
  </si>
  <si>
    <t>シート名</t>
    <rPh sb="3" eb="4">
      <t>メイ</t>
    </rPh>
    <phoneticPr fontId="1"/>
  </si>
  <si>
    <t xml:space="preserve">- - - </t>
    <phoneticPr fontId="1"/>
  </si>
  <si>
    <t>現物</t>
    <rPh sb="0" eb="2">
      <t>ゲンブツ</t>
    </rPh>
    <phoneticPr fontId="1"/>
  </si>
  <si>
    <t>プロシージャー名</t>
    <rPh sb="7" eb="8">
      <t>メイ</t>
    </rPh>
    <phoneticPr fontId="1"/>
  </si>
  <si>
    <t>func_login</t>
  </si>
  <si>
    <t>func_logout</t>
  </si>
  <si>
    <t>correct_order</t>
  </si>
  <si>
    <t>correct_order</t>
    <phoneticPr fontId="1"/>
  </si>
  <si>
    <t>order_gen_buy</t>
  </si>
  <si>
    <t>get_CLMGenbutuKabuList</t>
  </si>
  <si>
    <t>get_CLMZanKaiKanougaku</t>
  </si>
  <si>
    <t>get_CLMZanShinkiKanoIjiritu</t>
  </si>
  <si>
    <t>照会</t>
    <rPh sb="0" eb="2">
      <t>ショウカイ</t>
    </rPh>
    <phoneticPr fontId="1"/>
  </si>
  <si>
    <t>信用</t>
    <rPh sb="0" eb="2">
      <t>シンヨウ</t>
    </rPh>
    <phoneticPr fontId="1"/>
  </si>
  <si>
    <t>信用_返済_買い注文_個別指定</t>
    <rPh sb="6" eb="7">
      <t>カ</t>
    </rPh>
    <phoneticPr fontId="1"/>
  </si>
  <si>
    <t>order_hensai_buy_aCLMKabuHensaiData</t>
  </si>
  <si>
    <t>order_hensai_buy_aCLMKabuHensaiData</t>
    <phoneticPr fontId="1"/>
  </si>
  <si>
    <t>信用_返済_買い注文_個別指定</t>
    <rPh sb="3" eb="5">
      <t>ヘンサイ</t>
    </rPh>
    <rPh sb="6" eb="7">
      <t>カ</t>
    </rPh>
    <rPh sb="11" eb="15">
      <t>コベツシテイ</t>
    </rPh>
    <phoneticPr fontId="1"/>
  </si>
  <si>
    <t>信用_返済_売り注文_個別指定</t>
    <rPh sb="3" eb="5">
      <t>ヘンサイ</t>
    </rPh>
    <rPh sb="6" eb="7">
      <t>ウ</t>
    </rPh>
    <phoneticPr fontId="1"/>
  </si>
  <si>
    <t>↑標準Webで返済の「優先順位」</t>
    <rPh sb="1" eb="3">
      <t>ヒョウジュン</t>
    </rPh>
    <rPh sb="7" eb="9">
      <t>ヘンサイ</t>
    </rPh>
    <rPh sb="11" eb="15">
      <t>ユウセンジュンイ</t>
    </rPh>
    <phoneticPr fontId="1"/>
  </si>
  <si>
    <t>本サンプルはｅ支店・ＡＰＩ の利用方法理解（学習）を主とし作成のため、不効率な部分があります。</t>
    <rPh sb="0" eb="1">
      <t>ホン</t>
    </rPh>
    <rPh sb="15" eb="17">
      <t>リヨウ</t>
    </rPh>
    <rPh sb="17" eb="19">
      <t>ホウホウ</t>
    </rPh>
    <rPh sb="19" eb="21">
      <t>リカイ</t>
    </rPh>
    <rPh sb="22" eb="24">
      <t>ガクシュウ</t>
    </rPh>
    <rPh sb="26" eb="27">
      <t>シュ</t>
    </rPh>
    <rPh sb="29" eb="31">
      <t>サクセイ</t>
    </rPh>
    <rPh sb="35" eb="38">
      <t>フコウリツ</t>
    </rPh>
    <rPh sb="39" eb="41">
      <t>ブブン</t>
    </rPh>
    <phoneticPr fontId="1"/>
  </si>
  <si>
    <t>OS（Microsoft Windows）のバージョンや EXCEL のバージョンの組み合わせ、またはパッチのバージョン、ご利用のPC（メーカ等々）の</t>
    <rPh sb="42" eb="43">
      <t>ク</t>
    </rPh>
    <rPh sb="44" eb="45">
      <t>ア</t>
    </rPh>
    <rPh sb="62" eb="64">
      <t>リヨウ</t>
    </rPh>
    <rPh sb="71" eb="73">
      <t>ナドナド</t>
    </rPh>
    <phoneticPr fontId="1"/>
  </si>
  <si>
    <t>入力セル、出力セルの色分け</t>
    <rPh sb="0" eb="2">
      <t>ニュウリョク</t>
    </rPh>
    <rPh sb="5" eb="7">
      <t>シュツリョク</t>
    </rPh>
    <rPh sb="10" eb="12">
      <t>イロワ</t>
    </rPh>
    <phoneticPr fontId="1"/>
  </si>
  <si>
    <t>レスポンス出力セル</t>
    <rPh sb="5" eb="7">
      <t>シュツリョク</t>
    </rPh>
    <phoneticPr fontId="1"/>
  </si>
  <si>
    <t xml:space="preserve"> </t>
  </si>
  <si>
    <t>本プログラムはMIT Licenseの範囲内で自由にご利用ください。</t>
  </si>
  <si>
    <t>７．ライセンス</t>
    <phoneticPr fontId="1"/>
  </si>
  <si>
    <t>シート「api_応答」に、APIへの送信テキストと返信データを出力します。</t>
  </si>
  <si>
    <t>８．責任</t>
    <rPh sb="2" eb="4">
      <t>セキニン</t>
    </rPh>
    <phoneticPr fontId="1"/>
  </si>
  <si>
    <t>5: 具体的な項目名+改行インデントで表示。</t>
    <rPh sb="3" eb="6">
      <t>グタイテキ</t>
    </rPh>
    <rPh sb="7" eb="10">
      <t>コウモクメイ</t>
    </rPh>
    <rPh sb="11" eb="13">
      <t>カイギョウ</t>
    </rPh>
    <rPh sb="19" eb="21">
      <t>ヒョウジ</t>
    </rPh>
    <phoneticPr fontId="1"/>
  </si>
  <si>
    <t>入力項目は、APIの注文約定一覧でも取得できる。</t>
    <rPh sb="0" eb="4">
      <t>ニュウリョクコウモク</t>
    </rPh>
    <rPh sb="10" eb="16">
      <t>チュウモンヤクジョウイチラン</t>
    </rPh>
    <rPh sb="18" eb="20">
      <t>シュトク</t>
    </rPh>
    <phoneticPr fontId="1"/>
  </si>
  <si>
    <t>stock_code</t>
  </si>
  <si>
    <t>pDPP</t>
  </si>
  <si>
    <t>tDPP:T</t>
  </si>
  <si>
    <t>pDYWP</t>
  </si>
  <si>
    <t>pDYRP</t>
  </si>
  <si>
    <t>pQAS</t>
  </si>
  <si>
    <t>pQAP</t>
  </si>
  <si>
    <t>pAV</t>
  </si>
  <si>
    <t>pQBS</t>
  </si>
  <si>
    <t>pQBP</t>
  </si>
  <si>
    <t>pBV</t>
  </si>
  <si>
    <t>xLISS</t>
  </si>
  <si>
    <t>所属</t>
  </si>
  <si>
    <t>現在値</t>
  </si>
  <si>
    <t>現在値時刻</t>
  </si>
  <si>
    <t>pDPG</t>
  </si>
  <si>
    <t>現値前値比較</t>
  </si>
  <si>
    <t>前日比</t>
  </si>
  <si>
    <t>騰落率</t>
  </si>
  <si>
    <t>pDOP</t>
  </si>
  <si>
    <t>始値</t>
  </si>
  <si>
    <t>tDOP:T</t>
  </si>
  <si>
    <t>始値時刻</t>
  </si>
  <si>
    <t>pDHP</t>
  </si>
  <si>
    <t>高値</t>
  </si>
  <si>
    <t>tDHP:T</t>
  </si>
  <si>
    <t>高値時刻</t>
  </si>
  <si>
    <t>pDLP</t>
  </si>
  <si>
    <t>安値</t>
  </si>
  <si>
    <t>tDLP:T</t>
  </si>
  <si>
    <t>安値時刻</t>
  </si>
  <si>
    <t>pDV</t>
  </si>
  <si>
    <t>出来高</t>
  </si>
  <si>
    <t>売気配値種類</t>
  </si>
  <si>
    <t>売気配値</t>
  </si>
  <si>
    <t>売気配数量</t>
  </si>
  <si>
    <t>買気配値種類</t>
  </si>
  <si>
    <t>買気配値</t>
  </si>
  <si>
    <t>買気配数量</t>
  </si>
  <si>
    <t>xDVES</t>
  </si>
  <si>
    <t>配当落銘柄区分</t>
  </si>
  <si>
    <t>xDCFS</t>
  </si>
  <si>
    <t>不連続要因銘柄区分</t>
  </si>
  <si>
    <t>pDHF</t>
  </si>
  <si>
    <t>日通し高値フラグ</t>
  </si>
  <si>
    <t>pDLF</t>
  </si>
  <si>
    <t>日通し安値フラグ</t>
  </si>
  <si>
    <t>pDJ</t>
  </si>
  <si>
    <t>売買代金</t>
  </si>
  <si>
    <t>pAAV</t>
  </si>
  <si>
    <t>売数量（成行）</t>
  </si>
  <si>
    <t>pABV</t>
  </si>
  <si>
    <t>買数量（成行）</t>
  </si>
  <si>
    <t>pQOV</t>
  </si>
  <si>
    <t>売-OVER</t>
  </si>
  <si>
    <t>pGAV10</t>
  </si>
  <si>
    <t>売-１０-数量</t>
  </si>
  <si>
    <t>pGAP10</t>
  </si>
  <si>
    <t>売-１０-値段</t>
  </si>
  <si>
    <t>pGAV9</t>
  </si>
  <si>
    <t>売-９-数量</t>
  </si>
  <si>
    <t>pGAP9</t>
  </si>
  <si>
    <t>売-９-値段</t>
  </si>
  <si>
    <t>pGAV8</t>
  </si>
  <si>
    <t>売-８-数量</t>
  </si>
  <si>
    <t>pGAP8</t>
  </si>
  <si>
    <t>売-８-値段</t>
  </si>
  <si>
    <t>pGAV7</t>
  </si>
  <si>
    <t>売-７-数量</t>
  </si>
  <si>
    <t>pGAP7</t>
  </si>
  <si>
    <t>売-７-値段</t>
  </si>
  <si>
    <t>pGAV6</t>
  </si>
  <si>
    <t>売-６-数量</t>
  </si>
  <si>
    <t>pGAP6</t>
  </si>
  <si>
    <t>売-６-値段</t>
  </si>
  <si>
    <t>pGAV5</t>
  </si>
  <si>
    <t>売-５-数量</t>
  </si>
  <si>
    <t>pGAP5</t>
  </si>
  <si>
    <t>売-５-値段</t>
  </si>
  <si>
    <t>pGAV4</t>
  </si>
  <si>
    <t>売-４-数量</t>
  </si>
  <si>
    <t>pGAP4</t>
  </si>
  <si>
    <t>売-４-値段</t>
  </si>
  <si>
    <t>pGAV3</t>
  </si>
  <si>
    <t>売-３-数量</t>
  </si>
  <si>
    <t>pGAP3</t>
  </si>
  <si>
    <t>売-３-値段</t>
  </si>
  <si>
    <t>pGAV2</t>
  </si>
  <si>
    <t>売-２-数量</t>
  </si>
  <si>
    <t>pGAP2</t>
  </si>
  <si>
    <t>売-２-値段</t>
  </si>
  <si>
    <t>pGAV1</t>
  </si>
  <si>
    <t>売-１-数量</t>
  </si>
  <si>
    <t>pGAP1</t>
  </si>
  <si>
    <t>売-１-値段</t>
  </si>
  <si>
    <t>pGBV1</t>
  </si>
  <si>
    <t>買-１-数量</t>
  </si>
  <si>
    <t>pGBP1</t>
  </si>
  <si>
    <t>買-１-値段</t>
  </si>
  <si>
    <t>pGBV2</t>
  </si>
  <si>
    <t>買-２-数量</t>
  </si>
  <si>
    <t>pGBP2</t>
  </si>
  <si>
    <t>買-２-値段</t>
  </si>
  <si>
    <t>pGBV3</t>
  </si>
  <si>
    <t>買-３-数量</t>
  </si>
  <si>
    <t>pGBP3</t>
  </si>
  <si>
    <t>買-３-値段</t>
  </si>
  <si>
    <t>pGBV4</t>
  </si>
  <si>
    <t>買-４-数量</t>
  </si>
  <si>
    <t>pGBP4</t>
  </si>
  <si>
    <t>買-４-値段</t>
  </si>
  <si>
    <t>pGBV5</t>
  </si>
  <si>
    <t>買-５-数量</t>
  </si>
  <si>
    <t>pGBP5</t>
  </si>
  <si>
    <t>買-５-値段</t>
  </si>
  <si>
    <t>pGBV6</t>
  </si>
  <si>
    <t>買-６-数量</t>
  </si>
  <si>
    <t>pGBP6</t>
  </si>
  <si>
    <t>買-６-値段</t>
  </si>
  <si>
    <t>pGBV7</t>
  </si>
  <si>
    <t>買-７-数量</t>
  </si>
  <si>
    <t>pGBP7</t>
  </si>
  <si>
    <t>買-７-値段</t>
  </si>
  <si>
    <t>pGBV8</t>
  </si>
  <si>
    <t>買-８-数量</t>
  </si>
  <si>
    <t>pGBP8</t>
  </si>
  <si>
    <t>買-８-値段</t>
  </si>
  <si>
    <t>pGBV9</t>
  </si>
  <si>
    <t>買-９-数量</t>
  </si>
  <si>
    <t>pGBP9</t>
  </si>
  <si>
    <t>買-９-値段</t>
  </si>
  <si>
    <t>pGBV10</t>
  </si>
  <si>
    <t>買-１０-数量</t>
  </si>
  <si>
    <t>pGBP10</t>
  </si>
  <si>
    <t>買-１０-値段</t>
  </si>
  <si>
    <t>pQUV</t>
  </si>
  <si>
    <t>買-UNDER</t>
  </si>
  <si>
    <t>pVWAP</t>
  </si>
  <si>
    <t>VWAP</t>
  </si>
  <si>
    <t>pPRP</t>
  </si>
  <si>
    <t>前日終値</t>
  </si>
  <si>
    <t>No</t>
    <phoneticPr fontId="1"/>
  </si>
  <si>
    <t>情報コード</t>
    <phoneticPr fontId="1"/>
  </si>
  <si>
    <t>名前</t>
    <phoneticPr fontId="1"/>
  </si>
  <si>
    <t>型</t>
    <rPh sb="0" eb="1">
      <t>カタ</t>
    </rPh>
    <phoneticPr fontId="1"/>
  </si>
  <si>
    <t>型＋情報コード</t>
    <rPh sb="0" eb="1">
      <t>カタ</t>
    </rPh>
    <phoneticPr fontId="1"/>
  </si>
  <si>
    <t>p_err</t>
  </si>
  <si>
    <t>型＋情報コード</t>
  </si>
  <si>
    <t>株価_スナップショット</t>
    <rPh sb="0" eb="2">
      <t>カブカ</t>
    </rPh>
    <phoneticPr fontId="1"/>
  </si>
  <si>
    <t>株価_日足データ</t>
    <rPh sb="0" eb="2">
      <t>カブカ</t>
    </rPh>
    <rPh sb="3" eb="5">
      <t>ヒアシ</t>
    </rPh>
    <phoneticPr fontId="1"/>
  </si>
  <si>
    <t>2.銘柄コード</t>
    <phoneticPr fontId="1"/>
  </si>
  <si>
    <t>3.市場</t>
    <phoneticPr fontId="1"/>
  </si>
  <si>
    <t>通常銘柄、4桁。優先株等、5桁。例、伊藤園'2593'、伊藤園優先株'25935'</t>
  </si>
  <si>
    <t>CLMMfdsGetMarketPriceHistory</t>
  </si>
  <si>
    <t>「型＋情報コード」「銘柄コード」共に連続して入力してある項目まで時価情報を取得します。</t>
    <rPh sb="1" eb="2">
      <t>カタ</t>
    </rPh>
    <rPh sb="3" eb="5">
      <t>ジョウホウ</t>
    </rPh>
    <rPh sb="10" eb="12">
      <t>メイガラ</t>
    </rPh>
    <rPh sb="16" eb="17">
      <t>トモ</t>
    </rPh>
    <rPh sb="18" eb="20">
      <t>レンゾク</t>
    </rPh>
    <rPh sb="22" eb="24">
      <t>ニュウリョク</t>
    </rPh>
    <rPh sb="28" eb="30">
      <t>コウモク</t>
    </rPh>
    <rPh sb="32" eb="36">
      <t>ジカジョウホウ</t>
    </rPh>
    <rPh sb="37" eb="39">
      <t>シュトク</t>
    </rPh>
    <phoneticPr fontId="1"/>
  </si>
  <si>
    <t>注）</t>
    <rPh sb="0" eb="1">
      <t>チュウ</t>
    </rPh>
    <phoneticPr fontId="1"/>
  </si>
  <si>
    <t>現物・信用_訂正</t>
    <rPh sb="3" eb="5">
      <t>シンヨウ</t>
    </rPh>
    <phoneticPr fontId="1"/>
  </si>
  <si>
    <t>現物・信用_一括取消</t>
    <rPh sb="3" eb="5">
      <t>シンヨウ</t>
    </rPh>
    <phoneticPr fontId="1"/>
  </si>
  <si>
    <t>現物・信用_取消</t>
    <rPh sb="3" eb="5">
      <t>シンヨウ</t>
    </rPh>
    <phoneticPr fontId="1"/>
  </si>
  <si>
    <t>*</t>
    <phoneticPr fontId="1"/>
  </si>
  <si>
    <t>00</t>
    <phoneticPr fontId="1"/>
  </si>
  <si>
    <t>0</t>
    <phoneticPr fontId="1"/>
  </si>
  <si>
    <t>日足データは「結果」シートに出力。</t>
    <rPh sb="0" eb="2">
      <t>ヒアシ</t>
    </rPh>
    <rPh sb="7" eb="9">
      <t>ケッカ</t>
    </rPh>
    <rPh sb="14" eb="16">
      <t>シュツリョク</t>
    </rPh>
    <phoneticPr fontId="1"/>
  </si>
  <si>
    <t>株価データは「結果」シートに出力。</t>
    <rPh sb="0" eb="2">
      <t>カブカ</t>
    </rPh>
    <rPh sb="7" eb="9">
      <t>ケッカ</t>
    </rPh>
    <rPh sb="14" eb="16">
      <t>シュツリョク</t>
    </rPh>
    <phoneticPr fontId="1"/>
  </si>
  <si>
    <t>←←</t>
    <phoneticPr fontId="1"/>
  </si>
  <si>
    <t>連続で入っているものまで取得する。</t>
    <rPh sb="0" eb="2">
      <t>レンゾク</t>
    </rPh>
    <rPh sb="3" eb="4">
      <t>ハイ</t>
    </rPh>
    <rPh sb="12" eb="14">
      <t>シュトク</t>
    </rPh>
    <phoneticPr fontId="1"/>
  </si>
  <si>
    <t>↑</t>
    <phoneticPr fontId="1"/>
  </si>
  <si>
    <t>列９のコード一覧表への参照式でも可能。</t>
    <rPh sb="0" eb="1">
      <t>レツ</t>
    </rPh>
    <rPh sb="6" eb="9">
      <t>イチランヒョウ</t>
    </rPh>
    <rPh sb="11" eb="14">
      <t>サンショウシキ</t>
    </rPh>
    <rPh sb="16" eb="18">
      <t>カノウ</t>
    </rPh>
    <phoneticPr fontId="1"/>
  </si>
  <si>
    <t>銘柄コードは列１４に記入する。</t>
    <rPh sb="0" eb="2">
      <t>メイガラ</t>
    </rPh>
    <rPh sb="10" eb="12">
      <t>キニュウ</t>
    </rPh>
    <phoneticPr fontId="1"/>
  </si>
  <si>
    <t>取得する「型＋情報コード」は行３に記入する。連続で入っている項目まで取得する。</t>
    <rPh sb="0" eb="2">
      <t>シュトク</t>
    </rPh>
    <rPh sb="5" eb="6">
      <t>カタ</t>
    </rPh>
    <rPh sb="7" eb="9">
      <t>ジョウホウ</t>
    </rPh>
    <rPh sb="14" eb="15">
      <t>ギョウ</t>
    </rPh>
    <rPh sb="17" eb="19">
      <t>キニュウ</t>
    </rPh>
    <rPh sb="22" eb="24">
      <t>レンゾク</t>
    </rPh>
    <rPh sb="25" eb="26">
      <t>ハイ</t>
    </rPh>
    <rPh sb="30" eb="32">
      <t>コウモク</t>
    </rPh>
    <rPh sb="34" eb="36">
      <t>シュトク</t>
    </rPh>
    <phoneticPr fontId="1"/>
  </si>
  <si>
    <t>只今の時間帯は受付できません</t>
  </si>
  <si>
    <t>株価</t>
    <rPh sb="0" eb="2">
      <t>カブカ</t>
    </rPh>
    <phoneticPr fontId="1"/>
  </si>
  <si>
    <t>日足データ取得</t>
    <rPh sb="0" eb="2">
      <t>ヒアシ</t>
    </rPh>
    <rPh sb="5" eb="7">
      <t>シュトク</t>
    </rPh>
    <phoneticPr fontId="1"/>
  </si>
  <si>
    <t>スナップショット</t>
    <phoneticPr fontId="1"/>
  </si>
  <si>
    <t>get_CLMMfdsGetMarketPriceHistory</t>
  </si>
  <si>
    <t>get_CLMMfdsGetMarketPrice</t>
  </si>
  <si>
    <t>2022.12.03</t>
    <phoneticPr fontId="1"/>
  </si>
  <si>
    <t>ｅ支店・ＡＰＩの現行バージョンは v4r3 ですが、機能追加等々により逐次バージョンアップが想定されます。</t>
    <rPh sb="0" eb="3">
      <t>エシテン</t>
    </rPh>
    <rPh sb="8" eb="10">
      <t>ゲンコウ</t>
    </rPh>
    <rPh sb="26" eb="30">
      <t>キノウツイカ</t>
    </rPh>
    <rPh sb="30" eb="32">
      <t>トウトウ</t>
    </rPh>
    <rPh sb="35" eb="37">
      <t>チクジ</t>
    </rPh>
    <rPh sb="46" eb="48">
      <t>ソウテイ</t>
    </rPh>
    <phoneticPr fontId="1"/>
  </si>
  <si>
    <t>シート「結果」に取得情報を適宜表示します。</t>
    <rPh sb="4" eb="6">
      <t>ケッカ</t>
    </rPh>
    <rPh sb="8" eb="12">
      <t>シュトクジョウホウ</t>
    </rPh>
    <rPh sb="13" eb="15">
      <t>テキギ</t>
    </rPh>
    <rPh sb="15" eb="17">
      <t>ヒョウジ</t>
    </rPh>
    <phoneticPr fontId="1"/>
  </si>
  <si>
    <t>（サンプルプログラムでは、5のみ利用可能）</t>
    <rPh sb="16" eb="20">
      <t>リヨウカノウ</t>
    </rPh>
    <phoneticPr fontId="1"/>
  </si>
  <si>
    <t>logout</t>
    <phoneticPr fontId="1"/>
  </si>
  <si>
    <t>logout</t>
    <phoneticPr fontId="1"/>
  </si>
  <si>
    <t>CLMMfdsGetMasterData</t>
  </si>
  <si>
    <t>get_master_kobetu_CLMIssueMstKabu</t>
  </si>
  <si>
    <t>マスター_個別　株式銘柄</t>
    <rPh sb="5" eb="7">
      <t>コベツ</t>
    </rPh>
    <rPh sb="8" eb="12">
      <t>カブシキメイガラ</t>
    </rPh>
    <phoneticPr fontId="1"/>
  </si>
  <si>
    <t>get_master_kobetu_CLMIssueSizyouMstKabu</t>
  </si>
  <si>
    <t>get_master_kobetu_CLMIssueMstSak</t>
  </si>
  <si>
    <t>マスター_個別　銘柄市場</t>
    <rPh sb="5" eb="7">
      <t>コベツ</t>
    </rPh>
    <rPh sb="8" eb="10">
      <t>メイガラ</t>
    </rPh>
    <rPh sb="10" eb="12">
      <t>シジョウ</t>
    </rPh>
    <phoneticPr fontId="1"/>
  </si>
  <si>
    <t>マスター_個別　先物</t>
    <rPh sb="5" eb="7">
      <t>コベツ</t>
    </rPh>
    <rPh sb="8" eb="10">
      <t>サキモノ</t>
    </rPh>
    <phoneticPr fontId="1"/>
  </si>
  <si>
    <t>get_master_kobetu_CLMIssueMstOp</t>
  </si>
  <si>
    <t>マスター_個別　OP</t>
    <rPh sb="5" eb="7">
      <t>コベツ</t>
    </rPh>
    <phoneticPr fontId="1"/>
  </si>
  <si>
    <t>マスター_個別　指数、為替、その他</t>
    <rPh sb="5" eb="7">
      <t>コベツ</t>
    </rPh>
    <phoneticPr fontId="1"/>
  </si>
  <si>
    <t>get_master_kobetu_CLMIssueMstOther</t>
  </si>
  <si>
    <t>get_master_kobetu_CLMOrderErrReason</t>
  </si>
  <si>
    <t>マスター_個別　日付情報</t>
    <rPh sb="5" eb="7">
      <t>コベツ</t>
    </rPh>
    <rPh sb="8" eb="12">
      <t>ヒヅケジョウホウ</t>
    </rPh>
    <phoneticPr fontId="1"/>
  </si>
  <si>
    <t>get_master_kobetu_CLMDateZyouhou</t>
  </si>
  <si>
    <t>CLMMfdsGetMarketPrice</t>
  </si>
  <si>
    <t>マスター</t>
    <phoneticPr fontId="1"/>
  </si>
  <si>
    <t>マスター_個別　株式銘柄</t>
  </si>
  <si>
    <t>マスター_個別　銘柄市場</t>
  </si>
  <si>
    <t>マスター_個別　先物</t>
  </si>
  <si>
    <t>マスター_個別　OP</t>
  </si>
  <si>
    <t>マスター_個別　指数、為替、その他</t>
  </si>
  <si>
    <t>マスター_個別　日付情報</t>
  </si>
  <si>
    <t>マスター_個別　取引所エラー理由コード</t>
    <phoneticPr fontId="1"/>
  </si>
  <si>
    <t>マスター_個別　取引所エラー理由コード</t>
    <rPh sb="5" eb="7">
      <t>コベツ</t>
    </rPh>
    <phoneticPr fontId="1"/>
  </si>
  <si>
    <t>このソフトウェアを使用したことによって生じたすべての障害・損害・不具合等に関して、</t>
    <phoneticPr fontId="1"/>
  </si>
  <si>
    <t>私と私の関係者および私の所属するいかなる団体・組織とも、一切の責任を負いません。</t>
    <phoneticPr fontId="1"/>
  </si>
  <si>
    <t>各自の責任においてご使用ください。</t>
  </si>
  <si>
    <t>https://www.e-shiten.jp/api/</t>
  </si>
  <si>
    <t>https://www.e-shiten.jp/e_api/mfds_json_api_menu.html</t>
  </si>
  <si>
    <t>ｅ支店・ＡＰＩのご利用については専用ページを参照願います。</t>
    <rPh sb="0" eb="3">
      <t>エシテン</t>
    </rPh>
    <rPh sb="9" eb="11">
      <t>リヨウ</t>
    </rPh>
    <rPh sb="16" eb="18">
      <t>センヨウ</t>
    </rPh>
    <rPh sb="22" eb="24">
      <t>サンショウ</t>
    </rPh>
    <rPh sb="24" eb="25">
      <t>ネガ</t>
    </rPh>
    <phoneticPr fontId="1"/>
  </si>
  <si>
    <t>https://demo-kabuka.e-shiten.jp/e_api_v4r3/</t>
    <phoneticPr fontId="1"/>
  </si>
  <si>
    <t>YOUR_ID</t>
    <phoneticPr fontId="1"/>
  </si>
  <si>
    <t>YOUR_PASSWORD_1</t>
    <phoneticPr fontId="1"/>
  </si>
  <si>
    <t>YOUR_PASSWORD_2</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</si>
</sst>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_);[Red]\(0\)"/>
    <numFmt numFmtId="177" formatCode="#,##0_ "/>
  </numFmts>
  <fonts count="17" x14ac:knownFonts="1">
    <font>
      <sz val="11"/>
      <color theme="1"/>
      <name val="游ゴシック"/>
      <family val="2"/>
      <charset val="128"/>
      <scheme val="minor"/>
    </font>
    <font>
      <sz val="6"/>
      <name val="游ゴシック"/>
      <family val="2"/>
      <charset val="128"/>
      <scheme val="minor"/>
    </font>
    <font>
      <sz val="10"/>
      <color theme="1"/>
      <name val="游ゴシック"/>
      <family val="3"/>
      <charset val="128"/>
      <scheme val="minor"/>
    </font>
    <font>
      <b/>
      <sz val="10"/>
      <color rgb="FFFF0000"/>
      <name val="游ゴシック"/>
      <family val="3"/>
      <charset val="128"/>
      <scheme val="minor"/>
    </font>
    <font>
      <b/>
      <sz val="14"/>
      <color rgb="FFFF0000"/>
      <name val="ＭＳ Ｐゴシック"/>
      <family val="3"/>
      <charset val="128"/>
    </font>
    <font>
      <sz val="11"/>
      <color rgb="FF000000"/>
      <name val="游ゴシック"/>
      <family val="3"/>
      <charset val="128"/>
    </font>
    <font>
      <sz val="12"/>
      <color theme="1"/>
      <name val="ＭＳ Ｐゴシック"/>
      <family val="3"/>
      <charset val="128"/>
    </font>
    <font>
      <b/>
      <sz val="14"/>
      <color theme="1"/>
      <name val="ＭＳ Ｐゴシック"/>
      <family val="3"/>
      <charset val="128"/>
    </font>
    <font>
      <sz val="14"/>
      <color theme="1"/>
      <name val="ＭＳ Ｐゴシック"/>
      <family val="3"/>
      <charset val="128"/>
    </font>
    <font>
      <sz val="11"/>
      <color rgb="FFFF0000"/>
      <name val="游ゴシック"/>
      <family val="3"/>
      <charset val="128"/>
    </font>
    <font>
      <sz val="11"/>
      <color rgb="FF0000FF"/>
      <name val="游ゴシック"/>
      <family val="3"/>
      <charset val="128"/>
    </font>
    <font>
      <sz val="10"/>
      <color theme="1"/>
      <name val="游ゴシック"/>
      <family val="2"/>
      <charset val="128"/>
      <scheme val="minor"/>
    </font>
    <font>
      <sz val="10"/>
      <name val="游ゴシック"/>
      <family val="3"/>
      <charset val="128"/>
      <scheme val="minor"/>
    </font>
    <font>
      <sz val="11"/>
      <color rgb="FFFF0000"/>
      <name val="游ゴシック"/>
      <family val="2"/>
      <charset val="128"/>
      <scheme val="minor"/>
    </font>
    <font>
      <b/>
      <sz val="11"/>
      <color rgb="FFFF0000"/>
      <name val="游ゴシック"/>
      <family val="3"/>
      <charset val="128"/>
      <scheme val="minor"/>
    </font>
    <font>
      <b/>
      <sz val="11"/>
      <color rgb="FF000000"/>
      <name val="游ゴシック"/>
      <family val="3"/>
      <charset val="128"/>
    </font>
    <font>
      <strike/>
      <sz val="10"/>
      <color theme="1"/>
      <name val="游ゴシック"/>
      <family val="3"/>
      <charset val="128"/>
      <scheme val="minor"/>
    </font>
  </fonts>
  <fills count="4">
    <fill>
      <patternFill patternType="none"/>
    </fill>
    <fill>
      <patternFill patternType="gray125"/>
    </fill>
    <fill>
      <patternFill patternType="solid">
        <fgColor theme="5" tint="0.79998168889431442"/>
        <bgColor indexed="64"/>
      </patternFill>
    </fill>
    <fill>
      <patternFill patternType="solid">
        <fgColor theme="4" tint="0.79998168889431442"/>
        <bgColor indexed="64"/>
      </patternFill>
    </fill>
  </fills>
  <borders count="10">
    <border>
      <left/>
      <right/>
      <top/>
      <bottom/>
      <diagonal/>
    </border>
    <border>
      <left style="double">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s>
  <cellStyleXfs count="1">
    <xf numFmtId="0" fontId="0" fillId="0" borderId="0">
      <alignment vertical="center"/>
    </xf>
  </cellStyleXfs>
  <cellXfs count="48">
    <xf numFmtId="0" fontId="0" fillId="0" borderId="0" xfId="0">
      <alignment vertical="center"/>
    </xf>
    <xf numFmtId="0" fontId="2" fillId="0" borderId="0" xfId="0" applyFont="1">
      <alignment vertical="center"/>
    </xf>
    <xf numFmtId="0" fontId="2" fillId="0" borderId="0" xfId="0" quotePrefix="1" applyFont="1">
      <alignment vertical="center"/>
    </xf>
    <xf numFmtId="0" fontId="0" fillId="2" borderId="0" xfId="0" quotePrefix="1" applyFill="1">
      <alignment vertical="center"/>
    </xf>
    <xf numFmtId="0" fontId="0" fillId="2" borderId="0" xfId="0" applyFill="1">
      <alignment vertical="center"/>
    </xf>
    <xf numFmtId="14" fontId="0" fillId="0" borderId="0" xfId="0" applyNumberFormat="1" applyFill="1">
      <alignment vertical="center"/>
    </xf>
    <xf numFmtId="0" fontId="3" fillId="0" borderId="0" xfId="0" applyFont="1">
      <alignment vertical="center"/>
    </xf>
    <xf numFmtId="0" fontId="0" fillId="0" borderId="0" xfId="0" quotePrefix="1">
      <alignment vertical="center"/>
    </xf>
    <xf numFmtId="0" fontId="0" fillId="3" borderId="0" xfId="0" applyFill="1">
      <alignment vertical="center"/>
    </xf>
    <xf numFmtId="0" fontId="4" fillId="0" borderId="0" xfId="0" applyFont="1">
      <alignment vertical="center"/>
    </xf>
    <xf numFmtId="0" fontId="0" fillId="0" borderId="0" xfId="0" applyAlignment="1">
      <alignment vertical="center" wrapText="1"/>
    </xf>
    <xf numFmtId="0" fontId="6" fillId="0" borderId="0" xfId="0" applyFont="1">
      <alignment vertical="center"/>
    </xf>
    <xf numFmtId="0" fontId="7" fillId="0" borderId="0" xfId="0" applyFont="1">
      <alignment vertical="center"/>
    </xf>
    <xf numFmtId="176" fontId="0" fillId="3" borderId="0" xfId="0" applyNumberFormat="1" applyFill="1">
      <alignment vertical="center"/>
    </xf>
    <xf numFmtId="177" fontId="0" fillId="3" borderId="0" xfId="0" applyNumberFormat="1" applyFill="1">
      <alignment vertical="center"/>
    </xf>
    <xf numFmtId="14" fontId="6" fillId="0" borderId="0" xfId="0" applyNumberFormat="1" applyFont="1" applyFill="1">
      <alignment vertical="center"/>
    </xf>
    <xf numFmtId="0" fontId="8" fillId="0" borderId="0" xfId="0" applyFont="1">
      <alignment vertical="center"/>
    </xf>
    <xf numFmtId="176" fontId="6" fillId="2" borderId="0" xfId="0" applyNumberFormat="1" applyFont="1" applyFill="1">
      <alignment vertical="center"/>
    </xf>
    <xf numFmtId="0" fontId="6" fillId="2" borderId="0" xfId="0" applyFont="1" applyFill="1">
      <alignment vertical="center"/>
    </xf>
    <xf numFmtId="0" fontId="11" fillId="0" borderId="0" xfId="0" applyFont="1" applyAlignment="1">
      <alignment vertical="center" wrapText="1"/>
    </xf>
    <xf numFmtId="0" fontId="2" fillId="0" borderId="0" xfId="0" applyFont="1" applyAlignment="1">
      <alignment vertical="center" wrapText="1"/>
    </xf>
    <xf numFmtId="0" fontId="2" fillId="0" borderId="0" xfId="0" applyFont="1" applyAlignment="1">
      <alignment horizontal="right" vertical="center"/>
    </xf>
    <xf numFmtId="0" fontId="12" fillId="0" borderId="0" xfId="0" applyFont="1">
      <alignment vertical="center"/>
    </xf>
    <xf numFmtId="0" fontId="0" fillId="0" borderId="0" xfId="0" applyFill="1">
      <alignment vertical="center"/>
    </xf>
    <xf numFmtId="0" fontId="0" fillId="0" borderId="0" xfId="0" applyAlignment="1">
      <alignment horizontal="center" vertical="center"/>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7" fontId="0" fillId="0" borderId="0" xfId="0" applyNumberFormat="1" applyFill="1">
      <alignment vertical="center"/>
    </xf>
    <xf numFmtId="0" fontId="13" fillId="0" borderId="0" xfId="0" applyFont="1" applyAlignment="1">
      <alignment horizontal="right" vertical="center"/>
    </xf>
    <xf numFmtId="0" fontId="13" fillId="0" borderId="0" xfId="0" applyFont="1">
      <alignment vertical="center"/>
    </xf>
    <xf numFmtId="0" fontId="14" fillId="0" borderId="0" xfId="0" applyFont="1">
      <alignment vertical="center"/>
    </xf>
    <xf numFmtId="0" fontId="14" fillId="0" borderId="0" xfId="0" applyFont="1" applyAlignment="1">
      <alignment horizontal="center" vertical="center"/>
    </xf>
    <xf numFmtId="0" fontId="14" fillId="0" borderId="0" xfId="0" applyFont="1" applyAlignment="1">
      <alignment horizontal="right" vertical="center"/>
    </xf>
    <xf numFmtId="0" fontId="0" fillId="0" borderId="0" xfId="0" applyNumberFormat="1">
      <alignment vertical="center"/>
    </xf>
    <xf numFmtId="0" fontId="0" fillId="0" borderId="0" xfId="0" applyNumberFormat="1" applyAlignment="1">
      <alignment vertical="top" wrapText="1"/>
    </xf>
    <xf numFmtId="0" fontId="0" fillId="0" borderId="0" xfId="0" applyNumberFormat="1" applyAlignment="1">
      <alignment vertical="top"/>
    </xf>
    <xf numFmtId="20" fontId="0" fillId="0" borderId="0" xfId="0" applyNumberFormat="1">
      <alignment vertical="center"/>
    </xf>
    <xf numFmtId="0" fontId="16" fillId="0" borderId="0" xfId="0" applyFont="1">
      <alignment vertical="center"/>
    </xf>
    <xf numFmtId="0" fontId="2" fillId="0" borderId="0" xfId="0" quotePrefix="1" applyFont="1" applyAlignment="1">
      <alignment horizontal="center" vertical="center"/>
    </xf>
    <xf numFmtId="0" fontId="2" fillId="0" borderId="0" xfId="0" applyFont="1" applyAlignment="1">
      <alignment horizontal="center" vertical="center"/>
    </xf>
    <xf numFmtId="0" fontId="0" fillId="2" borderId="0" xfId="0" applyFill="1" applyAlignment="1">
      <alignment horizontal="lef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xdr:row>
          <xdr:rowOff>123825</xdr:rowOff>
        </xdr:from>
        <xdr:to>
          <xdr:col>1</xdr:col>
          <xdr:colOff>1724025</xdr:colOff>
          <xdr:row>2</xdr:row>
          <xdr:rowOff>457200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現物 可能額取得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142875</xdr:colOff>
          <xdr:row>2</xdr:row>
          <xdr:rowOff>123825</xdr:rowOff>
        </xdr:from>
        <xdr:to>
          <xdr:col>5</xdr:col>
          <xdr:colOff>1724025</xdr:colOff>
          <xdr:row>2</xdr:row>
          <xdr:rowOff>457200</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信用 新規建可能額取得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142875</xdr:colOff>
          <xdr:row>2</xdr:row>
          <xdr:rowOff>123825</xdr:rowOff>
        </xdr:from>
        <xdr:to>
          <xdr:col>9</xdr:col>
          <xdr:colOff>1724025</xdr:colOff>
          <xdr:row>2</xdr:row>
          <xdr:rowOff>457200</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注文約定一覧取得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142875</xdr:colOff>
          <xdr:row>2</xdr:row>
          <xdr:rowOff>123825</xdr:rowOff>
        </xdr:from>
        <xdr:to>
          <xdr:col>13</xdr:col>
          <xdr:colOff>1724025</xdr:colOff>
          <xdr:row>2</xdr:row>
          <xdr:rowOff>457200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注文約定一覧_詳細 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161925</xdr:colOff>
          <xdr:row>2</xdr:row>
          <xdr:rowOff>133350</xdr:rowOff>
        </xdr:from>
        <xdr:to>
          <xdr:col>1</xdr:col>
          <xdr:colOff>1743075</xdr:colOff>
          <xdr:row>2</xdr:row>
          <xdr:rowOff>438150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現物 買い注文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161925</xdr:colOff>
          <xdr:row>2</xdr:row>
          <xdr:rowOff>133350</xdr:rowOff>
        </xdr:from>
        <xdr:to>
          <xdr:col>5</xdr:col>
          <xdr:colOff>1743075</xdr:colOff>
          <xdr:row>2</xdr:row>
          <xdr:rowOff>438150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注文取消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161925</xdr:colOff>
          <xdr:row>2</xdr:row>
          <xdr:rowOff>133350</xdr:rowOff>
        </xdr:from>
        <xdr:to>
          <xdr:col>9</xdr:col>
          <xdr:colOff>1743075</xdr:colOff>
          <xdr:row>2</xdr:row>
          <xdr:rowOff>438150</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一括取消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161925</xdr:colOff>
          <xdr:row>2</xdr:row>
          <xdr:rowOff>133350</xdr:rowOff>
        </xdr:from>
        <xdr:to>
          <xdr:col>13</xdr:col>
          <xdr:colOff>1743075</xdr:colOff>
          <xdr:row>2</xdr:row>
          <xdr:rowOff>438150</xdr:rowOff>
        </xdr:to>
        <xdr:sp macro="" textlink="">
          <xdr:nvSpPr>
            <xdr:cNvPr id="8196" name="Button 4" hidden="1">
              <a:extLst>
                <a:ext uri="{63B3BB69-23CF-44E3-9099-C40C66FF867C}">
                  <a14:compatExt spid="_x0000_s8196"/>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注文訂正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2</xdr:row>
          <xdr:rowOff>123825</xdr:rowOff>
        </xdr:from>
        <xdr:to>
          <xdr:col>17</xdr:col>
          <xdr:colOff>1724025</xdr:colOff>
          <xdr:row>2</xdr:row>
          <xdr:rowOff>457200</xdr:rowOff>
        </xdr:to>
        <xdr:sp macro="" textlink="">
          <xdr:nvSpPr>
            <xdr:cNvPr id="8197" name="Button 5" hidden="1">
              <a:extLst>
                <a:ext uri="{63B3BB69-23CF-44E3-9099-C40C66FF867C}">
                  <a14:compatExt spid="_x0000_s8197"/>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預り株一覧取得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161925</xdr:colOff>
          <xdr:row>2</xdr:row>
          <xdr:rowOff>133350</xdr:rowOff>
        </xdr:from>
        <xdr:to>
          <xdr:col>21</xdr:col>
          <xdr:colOff>1743075</xdr:colOff>
          <xdr:row>2</xdr:row>
          <xdr:rowOff>438150</xdr:rowOff>
        </xdr:to>
        <xdr:sp macro="" textlink="">
          <xdr:nvSpPr>
            <xdr:cNvPr id="8198" name="Button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現物 売り注文の発注</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161925</xdr:colOff>
          <xdr:row>2</xdr:row>
          <xdr:rowOff>133350</xdr:rowOff>
        </xdr:from>
        <xdr:to>
          <xdr:col>1</xdr:col>
          <xdr:colOff>2152650</xdr:colOff>
          <xdr:row>2</xdr:row>
          <xdr:rowOff>438150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信用 新規 買い注文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161925</xdr:colOff>
          <xdr:row>2</xdr:row>
          <xdr:rowOff>133350</xdr:rowOff>
        </xdr:from>
        <xdr:to>
          <xdr:col>5</xdr:col>
          <xdr:colOff>2152650</xdr:colOff>
          <xdr:row>2</xdr:row>
          <xdr:rowOff>438150</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信用 新規 売り注文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161925</xdr:colOff>
          <xdr:row>2</xdr:row>
          <xdr:rowOff>133350</xdr:rowOff>
        </xdr:from>
        <xdr:to>
          <xdr:col>13</xdr:col>
          <xdr:colOff>2152650</xdr:colOff>
          <xdr:row>2</xdr:row>
          <xdr:rowOff>438150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信用 返済 買い注文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2</xdr:row>
          <xdr:rowOff>133350</xdr:rowOff>
        </xdr:from>
        <xdr:to>
          <xdr:col>17</xdr:col>
          <xdr:colOff>2152650</xdr:colOff>
          <xdr:row>2</xdr:row>
          <xdr:rowOff>438150</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信用 返済 売り注文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142875</xdr:colOff>
          <xdr:row>2</xdr:row>
          <xdr:rowOff>123825</xdr:rowOff>
        </xdr:from>
        <xdr:to>
          <xdr:col>9</xdr:col>
          <xdr:colOff>1724025</xdr:colOff>
          <xdr:row>2</xdr:row>
          <xdr:rowOff>457200</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信用 建玉一覧取得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161925</xdr:colOff>
          <xdr:row>2</xdr:row>
          <xdr:rowOff>38100</xdr:rowOff>
        </xdr:from>
        <xdr:to>
          <xdr:col>27</xdr:col>
          <xdr:colOff>1600200</xdr:colOff>
          <xdr:row>2</xdr:row>
          <xdr:rowOff>628650</xdr:rowOff>
        </xdr:to>
        <xdr:sp macro="" textlink="">
          <xdr:nvSpPr>
            <xdr:cNvPr id="3081" name="Button 9" hidden="1">
              <a:extLst>
                <a:ext uri="{63B3BB69-23CF-44E3-9099-C40C66FF867C}">
                  <a14:compatExt spid="_x0000_s308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信用 返済 売り注文</a:t>
              </a:r>
            </a:p>
            <a:p>
              <a:pPr algn="ctr" rtl="0">
                <a:defRPr sz="1000"/>
              </a:pPr>
              <a:r>
                <a:rPr lang="ja-JP" altLang="en-US" sz="1100" b="0" i="0" u="none" strike="noStrike" baseline="0">
                  <a:solidFill>
                    <a:srgbClr val="0000FF"/>
                  </a:solidFill>
                  <a:latin typeface="游ゴシック"/>
                  <a:ea typeface="游ゴシック"/>
                </a:rPr>
                <a:t>（個別指定）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161925</xdr:colOff>
          <xdr:row>2</xdr:row>
          <xdr:rowOff>38100</xdr:rowOff>
        </xdr:from>
        <xdr:to>
          <xdr:col>21</xdr:col>
          <xdr:colOff>1600200</xdr:colOff>
          <xdr:row>2</xdr:row>
          <xdr:rowOff>628650</xdr:rowOff>
        </xdr:to>
        <xdr:sp macro="" textlink="">
          <xdr:nvSpPr>
            <xdr:cNvPr id="3082" name="Button 10" hidden="1">
              <a:extLst>
                <a:ext uri="{63B3BB69-23CF-44E3-9099-C40C66FF867C}">
                  <a14:compatExt spid="_x0000_s308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信用 返済 買い注文</a:t>
              </a:r>
            </a:p>
            <a:p>
              <a:pPr algn="ctr" rtl="0">
                <a:defRPr sz="1000"/>
              </a:pPr>
              <a:r>
                <a:rPr lang="ja-JP" altLang="en-US" sz="1100" b="0" i="0" u="none" strike="noStrike" baseline="0">
                  <a:solidFill>
                    <a:srgbClr val="FF0000"/>
                  </a:solidFill>
                  <a:latin typeface="游ゴシック"/>
                  <a:ea typeface="游ゴシック"/>
                </a:rPr>
                <a:t>（個別指定）</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142875</xdr:colOff>
          <xdr:row>2</xdr:row>
          <xdr:rowOff>123825</xdr:rowOff>
        </xdr:from>
        <xdr:to>
          <xdr:col>5</xdr:col>
          <xdr:colOff>1724025</xdr:colOff>
          <xdr:row>2</xdr:row>
          <xdr:rowOff>457200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株価  スナップショット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xdr:colOff>
          <xdr:row>2</xdr:row>
          <xdr:rowOff>123825</xdr:rowOff>
        </xdr:from>
        <xdr:to>
          <xdr:col>1</xdr:col>
          <xdr:colOff>1819275</xdr:colOff>
          <xdr:row>2</xdr:row>
          <xdr:rowOff>457200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株価 日足データ取得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2</xdr:row>
          <xdr:rowOff>95250</xdr:rowOff>
        </xdr:from>
        <xdr:to>
          <xdr:col>1</xdr:col>
          <xdr:colOff>2028825</xdr:colOff>
          <xdr:row>2</xdr:row>
          <xdr:rowOff>733425</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株式銘柄</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CLMIssueMstKabu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xdr:colOff>
          <xdr:row>2</xdr:row>
          <xdr:rowOff>95250</xdr:rowOff>
        </xdr:from>
        <xdr:to>
          <xdr:col>5</xdr:col>
          <xdr:colOff>2028825</xdr:colOff>
          <xdr:row>2</xdr:row>
          <xdr:rowOff>733425</xdr:rowOff>
        </xdr:to>
        <xdr:sp macro="" textlink="">
          <xdr:nvSpPr>
            <xdr:cNvPr id="15363" name="Button 3" hidden="1">
              <a:extLst>
                <a:ext uri="{63B3BB69-23CF-44E3-9099-C40C66FF867C}">
                  <a14:compatExt spid="_x0000_s15363"/>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銘柄市場</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CLMIssueSizyouMstKabu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47625</xdr:colOff>
          <xdr:row>2</xdr:row>
          <xdr:rowOff>95250</xdr:rowOff>
        </xdr:from>
        <xdr:to>
          <xdr:col>9</xdr:col>
          <xdr:colOff>2028825</xdr:colOff>
          <xdr:row>2</xdr:row>
          <xdr:rowOff>733425</xdr:rowOff>
        </xdr:to>
        <xdr:sp macro="" textlink="">
          <xdr:nvSpPr>
            <xdr:cNvPr id="15365" name="Button 5" hidden="1">
              <a:extLst>
                <a:ext uri="{63B3BB69-23CF-44E3-9099-C40C66FF867C}">
                  <a14:compatExt spid="_x0000_s15365"/>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先物</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CLMIssueMstSak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2</xdr:row>
          <xdr:rowOff>95250</xdr:rowOff>
        </xdr:from>
        <xdr:to>
          <xdr:col>13</xdr:col>
          <xdr:colOff>2028825</xdr:colOff>
          <xdr:row>2</xdr:row>
          <xdr:rowOff>733425</xdr:rowOff>
        </xdr:to>
        <xdr:sp macro="" textlink="">
          <xdr:nvSpPr>
            <xdr:cNvPr id="15366" name="Button 6" hidden="1">
              <a:extLst>
                <a:ext uri="{63B3BB69-23CF-44E3-9099-C40C66FF867C}">
                  <a14:compatExt spid="_x0000_s15366"/>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先物</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CLMIssueMstSak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2</xdr:row>
          <xdr:rowOff>95250</xdr:rowOff>
        </xdr:from>
        <xdr:to>
          <xdr:col>13</xdr:col>
          <xdr:colOff>2028825</xdr:colOff>
          <xdr:row>2</xdr:row>
          <xdr:rowOff>733425</xdr:rowOff>
        </xdr:to>
        <xdr:sp macro="" textlink="">
          <xdr:nvSpPr>
            <xdr:cNvPr id="15367" name="Button 7" hidden="1">
              <a:extLst>
                <a:ext uri="{63B3BB69-23CF-44E3-9099-C40C66FF867C}">
                  <a14:compatExt spid="_x0000_s15367"/>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OP</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2</xdr:row>
          <xdr:rowOff>95250</xdr:rowOff>
        </xdr:from>
        <xdr:to>
          <xdr:col>17</xdr:col>
          <xdr:colOff>2028825</xdr:colOff>
          <xdr:row>2</xdr:row>
          <xdr:rowOff>733425</xdr:rowOff>
        </xdr:to>
        <xdr:sp macro="" textlink="">
          <xdr:nvSpPr>
            <xdr:cNvPr id="15368" name="Button 8" hidden="1">
              <a:extLst>
                <a:ext uri="{63B3BB69-23CF-44E3-9099-C40C66FF867C}">
                  <a14:compatExt spid="_x0000_s15368"/>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先物</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CLMIssueMstSak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2</xdr:row>
          <xdr:rowOff>95250</xdr:rowOff>
        </xdr:from>
        <xdr:to>
          <xdr:col>17</xdr:col>
          <xdr:colOff>2343150</xdr:colOff>
          <xdr:row>2</xdr:row>
          <xdr:rowOff>733425</xdr:rowOff>
        </xdr:to>
        <xdr:sp macro="" textlink="">
          <xdr:nvSpPr>
            <xdr:cNvPr id="15369" name="Button 9" hidden="1">
              <a:extLst>
                <a:ext uri="{63B3BB69-23CF-44E3-9099-C40C66FF867C}">
                  <a14:compatExt spid="_x0000_s1536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指数、為替、その他</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CLMIssueMstOther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47625</xdr:colOff>
          <xdr:row>2</xdr:row>
          <xdr:rowOff>95250</xdr:rowOff>
        </xdr:from>
        <xdr:to>
          <xdr:col>21</xdr:col>
          <xdr:colOff>2028825</xdr:colOff>
          <xdr:row>2</xdr:row>
          <xdr:rowOff>733425</xdr:rowOff>
        </xdr:to>
        <xdr:sp macro="" textlink="">
          <xdr:nvSpPr>
            <xdr:cNvPr id="15370" name="Button 10" hidden="1">
              <a:extLst>
                <a:ext uri="{63B3BB69-23CF-44E3-9099-C40C66FF867C}">
                  <a14:compatExt spid="_x0000_s1537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先物</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CLMIssueMstSak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47625</xdr:colOff>
          <xdr:row>2</xdr:row>
          <xdr:rowOff>95250</xdr:rowOff>
        </xdr:from>
        <xdr:to>
          <xdr:col>21</xdr:col>
          <xdr:colOff>2028825</xdr:colOff>
          <xdr:row>2</xdr:row>
          <xdr:rowOff>733425</xdr:rowOff>
        </xdr:to>
        <xdr:sp macro="" textlink="">
          <xdr:nvSpPr>
            <xdr:cNvPr id="15371" name="Button 11" hidden="1">
              <a:extLst>
                <a:ext uri="{63B3BB69-23CF-44E3-9099-C40C66FF867C}">
                  <a14:compatExt spid="_x0000_s1537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先物</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CLMIssueMstSak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47625</xdr:colOff>
          <xdr:row>2</xdr:row>
          <xdr:rowOff>95250</xdr:rowOff>
        </xdr:from>
        <xdr:to>
          <xdr:col>21</xdr:col>
          <xdr:colOff>2695575</xdr:colOff>
          <xdr:row>2</xdr:row>
          <xdr:rowOff>733425</xdr:rowOff>
        </xdr:to>
        <xdr:sp macro="" textlink="">
          <xdr:nvSpPr>
            <xdr:cNvPr id="15372" name="Button 12" hidden="1">
              <a:extLst>
                <a:ext uri="{63B3BB69-23CF-44E3-9099-C40C66FF867C}">
                  <a14:compatExt spid="_x0000_s1537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取引所エラー理由コード</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CLMOrderErrReason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47625</xdr:colOff>
          <xdr:row>2</xdr:row>
          <xdr:rowOff>95250</xdr:rowOff>
        </xdr:from>
        <xdr:to>
          <xdr:col>25</xdr:col>
          <xdr:colOff>2028825</xdr:colOff>
          <xdr:row>2</xdr:row>
          <xdr:rowOff>733425</xdr:rowOff>
        </xdr:to>
        <xdr:sp macro="" textlink="">
          <xdr:nvSpPr>
            <xdr:cNvPr id="15373" name="Button 13" hidden="1">
              <a:extLst>
                <a:ext uri="{63B3BB69-23CF-44E3-9099-C40C66FF867C}">
                  <a14:compatExt spid="_x0000_s15373"/>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先物</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CLMIssueMstSak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47625</xdr:colOff>
          <xdr:row>2</xdr:row>
          <xdr:rowOff>95250</xdr:rowOff>
        </xdr:from>
        <xdr:to>
          <xdr:col>25</xdr:col>
          <xdr:colOff>2343150</xdr:colOff>
          <xdr:row>2</xdr:row>
          <xdr:rowOff>733425</xdr:rowOff>
        </xdr:to>
        <xdr:sp macro="" textlink="">
          <xdr:nvSpPr>
            <xdr:cNvPr id="15374" name="Button 14" hidden="1">
              <a:extLst>
                <a:ext uri="{63B3BB69-23CF-44E3-9099-C40C66FF867C}">
                  <a14:compatExt spid="_x0000_s15374"/>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日付情報</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CLMDateZyouhou</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ctrlProp" Target="../ctrlProps/ctrlProp5.xml"/><Relationship Id="rId7" Type="http://schemas.openxmlformats.org/officeDocument/2006/relationships/ctrlProp" Target="../ctrlProps/ctrlProp9.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 Id="rId9"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3" Type="http://schemas.openxmlformats.org/officeDocument/2006/relationships/ctrlProp" Target="../ctrlProps/ctrlProp20.xml"/><Relationship Id="rId7" Type="http://schemas.openxmlformats.org/officeDocument/2006/relationships/ctrlProp" Target="../ctrlProps/ctrlProp24.xml"/><Relationship Id="rId12" Type="http://schemas.openxmlformats.org/officeDocument/2006/relationships/ctrlProp" Target="../ctrlProps/ctrlProp29.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trlProp" Target="../ctrlProps/ctrlProp23.xml"/><Relationship Id="rId11" Type="http://schemas.openxmlformats.org/officeDocument/2006/relationships/ctrlProp" Target="../ctrlProps/ctrlProp28.xml"/><Relationship Id="rId5" Type="http://schemas.openxmlformats.org/officeDocument/2006/relationships/ctrlProp" Target="../ctrlProps/ctrlProp22.xml"/><Relationship Id="rId10" Type="http://schemas.openxmlformats.org/officeDocument/2006/relationships/ctrlProp" Target="../ctrlProps/ctrlProp27.xml"/><Relationship Id="rId4" Type="http://schemas.openxmlformats.org/officeDocument/2006/relationships/ctrlProp" Target="../ctrlProps/ctrlProp21.xml"/><Relationship Id="rId9" Type="http://schemas.openxmlformats.org/officeDocument/2006/relationships/ctrlProp" Target="../ctrlProps/ctrlProp26.xml"/><Relationship Id="rId14" Type="http://schemas.openxmlformats.org/officeDocument/2006/relationships/ctrlProp" Target="../ctrlProps/ctrlProp3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12"/>
  <sheetViews>
    <sheetView tabSelected="1" zoomScaleNormal="100" workbookViewId="0"/>
  </sheetViews>
  <sheetFormatPr defaultRowHeight="16.5" x14ac:dyDescent="0.4"/>
  <cols>
    <col min="1" max="1" width="4.625" style="1" customWidth="1"/>
    <col min="2" max="2" width="24.75" style="1" customWidth="1"/>
    <col min="3" max="3" width="8.75" style="1" customWidth="1"/>
    <col min="4" max="4" width="24.5" style="1" customWidth="1"/>
    <col min="5" max="5" width="32.5" style="1" customWidth="1"/>
    <col min="6" max="6" width="9.375" style="1" bestFit="1" customWidth="1"/>
    <col min="7" max="10" width="9" style="1"/>
    <col min="11" max="11" width="9.375" style="1" bestFit="1" customWidth="1"/>
    <col min="12" max="16384" width="9" style="1"/>
  </cols>
  <sheetData>
    <row r="1" spans="1:12" x14ac:dyDescent="0.4">
      <c r="A1" s="1" t="s">
        <v>48</v>
      </c>
      <c r="J1" s="1" t="s">
        <v>0</v>
      </c>
      <c r="K1" s="2" t="s">
        <v>52</v>
      </c>
      <c r="L1" s="1" t="s">
        <v>1</v>
      </c>
    </row>
    <row r="2" spans="1:12" x14ac:dyDescent="0.4">
      <c r="J2" s="1" t="s">
        <v>2</v>
      </c>
      <c r="K2" s="2" t="s">
        <v>391</v>
      </c>
      <c r="L2" s="1" t="s">
        <v>1</v>
      </c>
    </row>
    <row r="3" spans="1:12" x14ac:dyDescent="0.4">
      <c r="A3" s="1" t="s">
        <v>3</v>
      </c>
      <c r="K3" s="2"/>
    </row>
    <row r="4" spans="1:12" x14ac:dyDescent="0.4">
      <c r="B4" s="1" t="s">
        <v>4</v>
      </c>
      <c r="K4" s="2"/>
    </row>
    <row r="5" spans="1:12" x14ac:dyDescent="0.4">
      <c r="B5" s="1" t="s">
        <v>49</v>
      </c>
      <c r="K5" s="2"/>
    </row>
    <row r="6" spans="1:12" x14ac:dyDescent="0.4">
      <c r="K6" s="2"/>
    </row>
    <row r="7" spans="1:12" x14ac:dyDescent="0.4">
      <c r="K7" s="2"/>
    </row>
    <row r="8" spans="1:12" x14ac:dyDescent="0.4">
      <c r="A8" s="1" t="s">
        <v>5</v>
      </c>
      <c r="K8" s="2"/>
    </row>
    <row r="9" spans="1:12" x14ac:dyDescent="0.4">
      <c r="B9" s="1" t="s">
        <v>6</v>
      </c>
      <c r="K9" s="2"/>
    </row>
    <row r="10" spans="1:12" x14ac:dyDescent="0.4">
      <c r="B10" s="1" t="s">
        <v>7</v>
      </c>
      <c r="K10" s="2"/>
    </row>
    <row r="11" spans="1:12" x14ac:dyDescent="0.4">
      <c r="K11" s="2"/>
    </row>
    <row r="12" spans="1:12" x14ac:dyDescent="0.4">
      <c r="K12" s="2"/>
    </row>
    <row r="13" spans="1:12" x14ac:dyDescent="0.4">
      <c r="A13" s="1" t="s">
        <v>8</v>
      </c>
      <c r="K13" s="2"/>
    </row>
    <row r="14" spans="1:12" x14ac:dyDescent="0.4">
      <c r="A14" s="1">
        <v>1</v>
      </c>
      <c r="B14" s="1" t="s">
        <v>161</v>
      </c>
      <c r="C14" s="1" t="s">
        <v>9</v>
      </c>
      <c r="D14" s="1" t="s">
        <v>10</v>
      </c>
      <c r="K14" s="2"/>
    </row>
    <row r="15" spans="1:12" x14ac:dyDescent="0.4">
      <c r="A15" s="1">
        <v>2</v>
      </c>
      <c r="B15" s="1" t="s">
        <v>11</v>
      </c>
      <c r="C15" s="1" t="s">
        <v>12</v>
      </c>
      <c r="D15" s="1" t="s">
        <v>13</v>
      </c>
      <c r="K15" s="2"/>
    </row>
    <row r="16" spans="1:12" x14ac:dyDescent="0.4">
      <c r="A16" s="1">
        <v>3</v>
      </c>
      <c r="B16" s="1" t="s">
        <v>162</v>
      </c>
      <c r="K16" s="2"/>
    </row>
    <row r="17" spans="1:11" x14ac:dyDescent="0.4">
      <c r="A17" s="1">
        <v>4</v>
      </c>
      <c r="B17" s="1" t="s">
        <v>182</v>
      </c>
      <c r="K17" s="2"/>
    </row>
    <row r="18" spans="1:11" x14ac:dyDescent="0.4">
      <c r="C18" s="21" t="s">
        <v>184</v>
      </c>
      <c r="D18" s="1" t="s">
        <v>183</v>
      </c>
      <c r="E18" s="1" t="s">
        <v>187</v>
      </c>
      <c r="K18" s="2"/>
    </row>
    <row r="19" spans="1:11" x14ac:dyDescent="0.4">
      <c r="C19" s="45" t="s">
        <v>185</v>
      </c>
      <c r="D19" s="1" t="s">
        <v>163</v>
      </c>
      <c r="E19" s="1" t="s">
        <v>188</v>
      </c>
      <c r="K19" s="2"/>
    </row>
    <row r="20" spans="1:11" x14ac:dyDescent="0.4">
      <c r="C20" s="45" t="s">
        <v>185</v>
      </c>
      <c r="D20" s="1" t="s">
        <v>164</v>
      </c>
      <c r="E20" s="1" t="s">
        <v>189</v>
      </c>
      <c r="K20" s="2"/>
    </row>
    <row r="21" spans="1:11" x14ac:dyDescent="0.4">
      <c r="B21" s="1">
        <v>1</v>
      </c>
      <c r="C21" s="46" t="s">
        <v>196</v>
      </c>
      <c r="D21" s="1" t="s">
        <v>168</v>
      </c>
      <c r="E21" s="1" t="s">
        <v>194</v>
      </c>
      <c r="K21" s="2"/>
    </row>
    <row r="22" spans="1:11" x14ac:dyDescent="0.4">
      <c r="B22" s="1">
        <v>2</v>
      </c>
      <c r="C22" s="46" t="s">
        <v>196</v>
      </c>
      <c r="D22" s="1" t="s">
        <v>87</v>
      </c>
      <c r="E22" s="1" t="s">
        <v>195</v>
      </c>
      <c r="K22" s="2"/>
    </row>
    <row r="23" spans="1:11" x14ac:dyDescent="0.4">
      <c r="B23" s="1">
        <v>3</v>
      </c>
      <c r="C23" s="46" t="s">
        <v>196</v>
      </c>
      <c r="D23" s="1" t="s">
        <v>169</v>
      </c>
      <c r="E23" s="1" t="s">
        <v>170</v>
      </c>
      <c r="K23" s="2"/>
    </row>
    <row r="24" spans="1:11" x14ac:dyDescent="0.4">
      <c r="B24" s="1">
        <v>4</v>
      </c>
      <c r="C24" s="46" t="s">
        <v>196</v>
      </c>
      <c r="D24" s="1" t="s">
        <v>171</v>
      </c>
      <c r="E24" s="1" t="s">
        <v>172</v>
      </c>
      <c r="K24" s="2"/>
    </row>
    <row r="25" spans="1:11" x14ac:dyDescent="0.4">
      <c r="B25" s="1">
        <v>5</v>
      </c>
      <c r="C25" s="46" t="s">
        <v>186</v>
      </c>
      <c r="D25" s="1" t="s">
        <v>166</v>
      </c>
      <c r="E25" s="1" t="s">
        <v>192</v>
      </c>
      <c r="K25" s="2"/>
    </row>
    <row r="26" spans="1:11" x14ac:dyDescent="0.4">
      <c r="B26" s="1">
        <v>6</v>
      </c>
      <c r="C26" s="46" t="s">
        <v>186</v>
      </c>
      <c r="D26" s="1" t="s">
        <v>117</v>
      </c>
      <c r="E26" s="1" t="s">
        <v>118</v>
      </c>
      <c r="K26" s="2"/>
    </row>
    <row r="27" spans="1:11" x14ac:dyDescent="0.4">
      <c r="B27" s="1">
        <v>7</v>
      </c>
      <c r="C27" s="46" t="s">
        <v>186</v>
      </c>
      <c r="D27" s="1" t="s">
        <v>165</v>
      </c>
      <c r="E27" s="1" t="s">
        <v>119</v>
      </c>
      <c r="K27" s="2"/>
    </row>
    <row r="28" spans="1:11" x14ac:dyDescent="0.4">
      <c r="B28" s="1">
        <v>8</v>
      </c>
      <c r="C28" s="46" t="s">
        <v>186</v>
      </c>
      <c r="D28" s="1" t="s">
        <v>120</v>
      </c>
      <c r="E28" s="1" t="s">
        <v>190</v>
      </c>
      <c r="K28" s="2"/>
    </row>
    <row r="29" spans="1:11" x14ac:dyDescent="0.4">
      <c r="B29" s="1">
        <v>9</v>
      </c>
      <c r="C29" s="46" t="s">
        <v>186</v>
      </c>
      <c r="D29" s="1" t="s">
        <v>167</v>
      </c>
      <c r="E29" s="1" t="s">
        <v>193</v>
      </c>
      <c r="K29" s="2"/>
    </row>
    <row r="30" spans="1:11" x14ac:dyDescent="0.4">
      <c r="B30" s="1">
        <v>10</v>
      </c>
      <c r="C30" s="46" t="s">
        <v>186</v>
      </c>
      <c r="D30" s="1" t="s">
        <v>121</v>
      </c>
      <c r="E30" s="1" t="s">
        <v>122</v>
      </c>
      <c r="K30" s="2"/>
    </row>
    <row r="31" spans="1:11" x14ac:dyDescent="0.4">
      <c r="B31" s="1">
        <v>11</v>
      </c>
      <c r="C31" s="46" t="s">
        <v>197</v>
      </c>
      <c r="D31" s="1" t="s">
        <v>126</v>
      </c>
      <c r="E31" s="1" t="s">
        <v>127</v>
      </c>
      <c r="K31" s="2"/>
    </row>
    <row r="32" spans="1:11" x14ac:dyDescent="0.4">
      <c r="B32" s="1">
        <v>12</v>
      </c>
      <c r="C32" s="46" t="s">
        <v>197</v>
      </c>
      <c r="D32" s="1" t="s">
        <v>174</v>
      </c>
      <c r="E32" s="1" t="s">
        <v>175</v>
      </c>
      <c r="K32" s="2"/>
    </row>
    <row r="33" spans="2:11" x14ac:dyDescent="0.4">
      <c r="B33" s="1">
        <v>13</v>
      </c>
      <c r="C33" s="46" t="s">
        <v>197</v>
      </c>
      <c r="D33" s="1" t="s">
        <v>173</v>
      </c>
      <c r="E33" s="1" t="s">
        <v>140</v>
      </c>
      <c r="K33" s="2"/>
    </row>
    <row r="34" spans="2:11" x14ac:dyDescent="0.4">
      <c r="B34" s="1">
        <v>14</v>
      </c>
      <c r="C34" s="46" t="s">
        <v>197</v>
      </c>
      <c r="D34" s="1" t="s">
        <v>176</v>
      </c>
      <c r="E34" s="1" t="s">
        <v>177</v>
      </c>
      <c r="K34" s="2"/>
    </row>
    <row r="35" spans="2:11" x14ac:dyDescent="0.4">
      <c r="B35" s="1">
        <v>15</v>
      </c>
      <c r="C35" s="46" t="s">
        <v>197</v>
      </c>
      <c r="D35" s="1" t="s">
        <v>178</v>
      </c>
      <c r="E35" s="1" t="s">
        <v>179</v>
      </c>
      <c r="K35" s="2"/>
    </row>
    <row r="36" spans="2:11" x14ac:dyDescent="0.4">
      <c r="B36" s="1">
        <v>16</v>
      </c>
      <c r="C36" s="46" t="s">
        <v>197</v>
      </c>
      <c r="D36" s="1" t="s">
        <v>198</v>
      </c>
      <c r="E36" s="1" t="s">
        <v>199</v>
      </c>
      <c r="K36" s="2"/>
    </row>
    <row r="37" spans="2:11" x14ac:dyDescent="0.4">
      <c r="B37" s="1">
        <v>17</v>
      </c>
      <c r="C37" s="46" t="s">
        <v>197</v>
      </c>
      <c r="D37" s="1" t="s">
        <v>180</v>
      </c>
      <c r="E37" s="1" t="s">
        <v>181</v>
      </c>
      <c r="K37" s="2"/>
    </row>
    <row r="38" spans="2:11" x14ac:dyDescent="0.4">
      <c r="B38" s="1">
        <v>18</v>
      </c>
      <c r="C38" s="46" t="s">
        <v>386</v>
      </c>
      <c r="D38" s="1" t="s">
        <v>387</v>
      </c>
      <c r="E38" s="1" t="s">
        <v>389</v>
      </c>
      <c r="K38" s="2"/>
    </row>
    <row r="39" spans="2:11" x14ac:dyDescent="0.4">
      <c r="B39" s="1">
        <v>19</v>
      </c>
      <c r="C39" s="46" t="s">
        <v>386</v>
      </c>
      <c r="D39" s="1" t="s">
        <v>388</v>
      </c>
      <c r="E39" s="1" t="s">
        <v>390</v>
      </c>
      <c r="K39" s="2"/>
    </row>
    <row r="40" spans="2:11" x14ac:dyDescent="0.4">
      <c r="B40" s="1">
        <v>20</v>
      </c>
      <c r="C40" s="46" t="s">
        <v>412</v>
      </c>
      <c r="D40" s="1" t="s">
        <v>413</v>
      </c>
      <c r="E40" s="1" t="s">
        <v>398</v>
      </c>
      <c r="K40" s="2"/>
    </row>
    <row r="41" spans="2:11" x14ac:dyDescent="0.4">
      <c r="B41" s="1">
        <v>21</v>
      </c>
      <c r="C41" s="46" t="s">
        <v>412</v>
      </c>
      <c r="D41" s="1" t="s">
        <v>414</v>
      </c>
      <c r="E41" s="1" t="s">
        <v>400</v>
      </c>
      <c r="K41" s="2"/>
    </row>
    <row r="42" spans="2:11" x14ac:dyDescent="0.4">
      <c r="B42" s="1">
        <v>22</v>
      </c>
      <c r="C42" s="46" t="s">
        <v>412</v>
      </c>
      <c r="D42" s="1" t="s">
        <v>415</v>
      </c>
      <c r="E42" s="1" t="s">
        <v>401</v>
      </c>
      <c r="K42" s="2"/>
    </row>
    <row r="43" spans="2:11" x14ac:dyDescent="0.4">
      <c r="B43" s="1">
        <v>23</v>
      </c>
      <c r="C43" s="46" t="s">
        <v>412</v>
      </c>
      <c r="D43" s="1" t="s">
        <v>416</v>
      </c>
      <c r="E43" s="1" t="s">
        <v>404</v>
      </c>
      <c r="K43" s="2"/>
    </row>
    <row r="44" spans="2:11" x14ac:dyDescent="0.4">
      <c r="B44" s="1">
        <v>24</v>
      </c>
      <c r="C44" s="46" t="s">
        <v>412</v>
      </c>
      <c r="D44" s="1" t="s">
        <v>417</v>
      </c>
      <c r="E44" s="1" t="s">
        <v>407</v>
      </c>
      <c r="K44" s="2"/>
    </row>
    <row r="45" spans="2:11" x14ac:dyDescent="0.4">
      <c r="B45" s="1">
        <v>25</v>
      </c>
      <c r="C45" s="46" t="s">
        <v>412</v>
      </c>
      <c r="D45" s="1" t="s">
        <v>419</v>
      </c>
      <c r="E45" s="1" t="s">
        <v>408</v>
      </c>
      <c r="K45" s="2"/>
    </row>
    <row r="46" spans="2:11" x14ac:dyDescent="0.4">
      <c r="B46" s="1">
        <v>26</v>
      </c>
      <c r="C46" s="46" t="s">
        <v>412</v>
      </c>
      <c r="D46" s="1" t="s">
        <v>418</v>
      </c>
      <c r="E46" s="1" t="s">
        <v>410</v>
      </c>
      <c r="K46" s="2"/>
    </row>
    <row r="47" spans="2:11" x14ac:dyDescent="0.4">
      <c r="K47" s="2"/>
    </row>
    <row r="48" spans="2:11" x14ac:dyDescent="0.4">
      <c r="K48" s="2"/>
    </row>
    <row r="49" spans="1:11" x14ac:dyDescent="0.4">
      <c r="K49" s="2"/>
    </row>
    <row r="50" spans="1:11" x14ac:dyDescent="0.4">
      <c r="A50" s="1" t="s">
        <v>14</v>
      </c>
      <c r="K50" s="2"/>
    </row>
    <row r="51" spans="1:11" x14ac:dyDescent="0.4">
      <c r="B51" s="1" t="s">
        <v>15</v>
      </c>
      <c r="K51" s="2"/>
    </row>
    <row r="52" spans="1:11" x14ac:dyDescent="0.4">
      <c r="B52" s="1" t="s">
        <v>50</v>
      </c>
      <c r="K52" s="2"/>
    </row>
    <row r="53" spans="1:11" x14ac:dyDescent="0.4">
      <c r="K53" s="2"/>
    </row>
    <row r="54" spans="1:11" x14ac:dyDescent="0.4">
      <c r="K54" s="2"/>
    </row>
    <row r="55" spans="1:11" x14ac:dyDescent="0.4">
      <c r="A55" s="1" t="s">
        <v>16</v>
      </c>
      <c r="K55" s="2"/>
    </row>
    <row r="56" spans="1:11" x14ac:dyDescent="0.4">
      <c r="A56" s="1">
        <v>1</v>
      </c>
      <c r="B56" s="1" t="s">
        <v>17</v>
      </c>
      <c r="K56" s="2"/>
    </row>
    <row r="57" spans="1:11" x14ac:dyDescent="0.4">
      <c r="A57" s="1">
        <v>2</v>
      </c>
      <c r="B57" s="1" t="s">
        <v>204</v>
      </c>
      <c r="K57" s="2"/>
    </row>
    <row r="58" spans="1:11" x14ac:dyDescent="0.4">
      <c r="A58" s="1">
        <v>3</v>
      </c>
      <c r="B58" s="1" t="s">
        <v>18</v>
      </c>
      <c r="K58" s="2"/>
    </row>
    <row r="59" spans="1:11" x14ac:dyDescent="0.4">
      <c r="A59" s="1">
        <v>4</v>
      </c>
      <c r="B59" s="1" t="s">
        <v>426</v>
      </c>
      <c r="K59" s="2"/>
    </row>
    <row r="60" spans="1:11" x14ac:dyDescent="0.4">
      <c r="B60" s="1" t="s">
        <v>424</v>
      </c>
      <c r="K60" s="2"/>
    </row>
    <row r="61" spans="1:11" x14ac:dyDescent="0.4">
      <c r="B61" s="1" t="s">
        <v>425</v>
      </c>
      <c r="K61" s="2"/>
    </row>
    <row r="62" spans="1:11" x14ac:dyDescent="0.4">
      <c r="A62" s="1">
        <v>5</v>
      </c>
      <c r="B62" s="1" t="s">
        <v>19</v>
      </c>
      <c r="K62" s="2"/>
    </row>
    <row r="63" spans="1:11" x14ac:dyDescent="0.4">
      <c r="B63" s="1" t="s">
        <v>20</v>
      </c>
      <c r="K63" s="2"/>
    </row>
    <row r="64" spans="1:11" x14ac:dyDescent="0.4">
      <c r="A64" s="1">
        <v>6</v>
      </c>
      <c r="B64" s="1" t="s">
        <v>21</v>
      </c>
      <c r="K64" s="2"/>
    </row>
    <row r="65" spans="1:11" x14ac:dyDescent="0.4">
      <c r="B65" s="1" t="s">
        <v>205</v>
      </c>
      <c r="K65" s="2"/>
    </row>
    <row r="66" spans="1:11" x14ac:dyDescent="0.4">
      <c r="B66" s="1" t="s">
        <v>22</v>
      </c>
      <c r="K66" s="2"/>
    </row>
    <row r="67" spans="1:11" x14ac:dyDescent="0.4">
      <c r="A67" s="1">
        <v>7</v>
      </c>
      <c r="B67" s="1" t="s">
        <v>23</v>
      </c>
      <c r="K67" s="2"/>
    </row>
    <row r="68" spans="1:11" x14ac:dyDescent="0.4">
      <c r="A68" s="1">
        <v>8</v>
      </c>
      <c r="B68" s="1" t="s">
        <v>51</v>
      </c>
      <c r="K68" s="2"/>
    </row>
    <row r="69" spans="1:11" x14ac:dyDescent="0.4">
      <c r="A69" s="1">
        <v>9</v>
      </c>
      <c r="B69" s="1" t="s">
        <v>392</v>
      </c>
      <c r="K69" s="2"/>
    </row>
    <row r="70" spans="1:11" x14ac:dyDescent="0.4">
      <c r="B70" s="1" t="s">
        <v>24</v>
      </c>
      <c r="K70" s="2"/>
    </row>
    <row r="71" spans="1:11" x14ac:dyDescent="0.4">
      <c r="B71" s="1" t="s">
        <v>25</v>
      </c>
      <c r="K71" s="2"/>
    </row>
    <row r="72" spans="1:11" x14ac:dyDescent="0.4">
      <c r="K72" s="2"/>
    </row>
    <row r="73" spans="1:11" x14ac:dyDescent="0.4">
      <c r="K73" s="2"/>
    </row>
    <row r="74" spans="1:11" x14ac:dyDescent="0.4">
      <c r="A74" s="2" t="s">
        <v>26</v>
      </c>
      <c r="K74" s="2"/>
    </row>
    <row r="75" spans="1:11" x14ac:dyDescent="0.4">
      <c r="A75" s="1">
        <v>1</v>
      </c>
      <c r="B75" s="1" t="s">
        <v>27</v>
      </c>
      <c r="K75" s="2"/>
    </row>
    <row r="76" spans="1:11" x14ac:dyDescent="0.4">
      <c r="A76" s="1">
        <v>2</v>
      </c>
      <c r="B76" s="44" t="s">
        <v>28</v>
      </c>
      <c r="K76" s="2"/>
    </row>
    <row r="77" spans="1:11" x14ac:dyDescent="0.4">
      <c r="A77" s="1">
        <v>3</v>
      </c>
      <c r="B77" s="1" t="s">
        <v>29</v>
      </c>
      <c r="K77" s="2"/>
    </row>
    <row r="78" spans="1:11" x14ac:dyDescent="0.4">
      <c r="B78" s="1" t="s">
        <v>30</v>
      </c>
      <c r="K78" s="2"/>
    </row>
    <row r="79" spans="1:11" x14ac:dyDescent="0.4">
      <c r="B79" s="1" t="s">
        <v>31</v>
      </c>
      <c r="K79" s="2"/>
    </row>
    <row r="80" spans="1:11" x14ac:dyDescent="0.4">
      <c r="B80" s="1" t="s">
        <v>32</v>
      </c>
      <c r="K80" s="2"/>
    </row>
    <row r="81" spans="1:11" x14ac:dyDescent="0.4">
      <c r="K81" s="2"/>
    </row>
    <row r="82" spans="1:11" x14ac:dyDescent="0.4">
      <c r="A82" s="1">
        <v>4</v>
      </c>
      <c r="B82" s="1" t="s">
        <v>206</v>
      </c>
      <c r="K82" s="2"/>
    </row>
    <row r="83" spans="1:11" x14ac:dyDescent="0.4">
      <c r="B83" s="1" t="s">
        <v>154</v>
      </c>
      <c r="C83" s="17"/>
      <c r="K83" s="2"/>
    </row>
    <row r="84" spans="1:11" ht="18.75" x14ac:dyDescent="0.4">
      <c r="B84" s="1" t="s">
        <v>207</v>
      </c>
      <c r="C84" s="8"/>
      <c r="K84" s="2"/>
    </row>
    <row r="85" spans="1:11" ht="18.75" x14ac:dyDescent="0.4">
      <c r="C85" s="23"/>
      <c r="K85" s="2"/>
    </row>
    <row r="86" spans="1:11" x14ac:dyDescent="0.4">
      <c r="A86" s="1">
        <v>5</v>
      </c>
      <c r="B86" s="1" t="s">
        <v>158</v>
      </c>
      <c r="K86" s="2"/>
    </row>
    <row r="87" spans="1:11" x14ac:dyDescent="0.4">
      <c r="K87" s="2"/>
    </row>
    <row r="88" spans="1:11" x14ac:dyDescent="0.4">
      <c r="A88" s="1">
        <v>6</v>
      </c>
      <c r="B88" s="1" t="s">
        <v>159</v>
      </c>
      <c r="K88" s="2"/>
    </row>
    <row r="89" spans="1:11" x14ac:dyDescent="0.4">
      <c r="B89" s="6" t="s">
        <v>160</v>
      </c>
      <c r="K89" s="2"/>
    </row>
    <row r="90" spans="1:11" x14ac:dyDescent="0.4">
      <c r="B90" s="6"/>
      <c r="K90" s="2"/>
    </row>
    <row r="91" spans="1:11" x14ac:dyDescent="0.4">
      <c r="A91" s="1">
        <v>7</v>
      </c>
      <c r="B91" s="22" t="s">
        <v>211</v>
      </c>
      <c r="K91" s="2"/>
    </row>
    <row r="92" spans="1:11" x14ac:dyDescent="0.4">
      <c r="K92" s="2"/>
    </row>
    <row r="93" spans="1:11" x14ac:dyDescent="0.4">
      <c r="A93" s="1">
        <v>8</v>
      </c>
      <c r="B93" s="1" t="s">
        <v>393</v>
      </c>
      <c r="K93" s="2"/>
    </row>
    <row r="94" spans="1:11" x14ac:dyDescent="0.4">
      <c r="K94" s="2"/>
    </row>
    <row r="95" spans="1:11" x14ac:dyDescent="0.4">
      <c r="B95" s="1" t="s">
        <v>33</v>
      </c>
      <c r="I95" s="2"/>
      <c r="K95" s="2"/>
    </row>
    <row r="96" spans="1:11" x14ac:dyDescent="0.4">
      <c r="K96" s="2"/>
    </row>
    <row r="97" spans="1:11" x14ac:dyDescent="0.4">
      <c r="I97" s="2"/>
      <c r="K97" s="2"/>
    </row>
    <row r="98" spans="1:11" x14ac:dyDescent="0.4">
      <c r="A98" s="1" t="s">
        <v>210</v>
      </c>
      <c r="K98" s="2"/>
    </row>
    <row r="99" spans="1:11" x14ac:dyDescent="0.4">
      <c r="B99" s="1" t="s">
        <v>209</v>
      </c>
      <c r="K99" s="2"/>
    </row>
    <row r="100" spans="1:11" x14ac:dyDescent="0.4">
      <c r="K100" s="2"/>
    </row>
    <row r="101" spans="1:11" x14ac:dyDescent="0.4">
      <c r="K101" s="2"/>
    </row>
    <row r="102" spans="1:11" x14ac:dyDescent="0.4">
      <c r="A102" s="1" t="s">
        <v>212</v>
      </c>
      <c r="K102" s="2"/>
    </row>
    <row r="103" spans="1:11" x14ac:dyDescent="0.4">
      <c r="A103" s="1" t="s">
        <v>208</v>
      </c>
      <c r="B103" s="6" t="s">
        <v>421</v>
      </c>
      <c r="K103" s="2"/>
    </row>
    <row r="104" spans="1:11" x14ac:dyDescent="0.4">
      <c r="B104" s="6" t="s">
        <v>422</v>
      </c>
      <c r="K104" s="2"/>
    </row>
    <row r="105" spans="1:11" x14ac:dyDescent="0.4">
      <c r="B105" s="6" t="s">
        <v>423</v>
      </c>
      <c r="K105" s="2"/>
    </row>
    <row r="106" spans="1:11" x14ac:dyDescent="0.4">
      <c r="A106" s="2"/>
      <c r="K106" s="2"/>
    </row>
    <row r="112" spans="1:11" x14ac:dyDescent="0.4">
      <c r="B112" s="2"/>
    </row>
  </sheetData>
  <sortState ref="B23:E39">
    <sortCondition ref="B23:B39"/>
  </sortState>
  <phoneticPr fontId="1"/>
  <pageMargins left="0.70866141732283472" right="0.70866141732283472" top="0.74803149606299213" bottom="0.74803149606299213" header="0.31496062992125984" footer="0.31496062992125984"/>
  <pageSetup paperSize="9" orientation="landscape" horizontalDpi="4294967293" r:id="rId1"/>
  <headerFooter>
    <oddFooter>&amp;L&amp;P／&amp;N&amp;RCopyright (C) THE TACHIBANA SECURITIES CO.,LTD. All rights reserved.</oddFooter>
  </headerFooter>
  <rowBreaks count="1" manualBreakCount="1">
    <brk id="54"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2"/>
  <sheetViews>
    <sheetView workbookViewId="0"/>
  </sheetViews>
  <sheetFormatPr defaultRowHeight="18.75" x14ac:dyDescent="0.4"/>
  <cols>
    <col min="1" max="1" width="25" bestFit="1" customWidth="1"/>
    <col min="2" max="2" width="41" customWidth="1"/>
    <col min="4" max="5" width="10.5" bestFit="1" customWidth="1"/>
    <col min="7" max="7" width="12.75" customWidth="1"/>
    <col min="8" max="8" width="24.5" customWidth="1"/>
    <col min="9" max="9" width="36.875" customWidth="1"/>
    <col min="14" max="14" width="12.25" customWidth="1"/>
    <col min="15" max="15" width="29.375" customWidth="1"/>
    <col min="21" max="21" width="12" customWidth="1"/>
    <col min="22" max="22" width="26" customWidth="1"/>
    <col min="29" max="29" width="27.125" customWidth="1"/>
  </cols>
  <sheetData>
    <row r="1" spans="1:9" ht="18" customHeight="1" x14ac:dyDescent="0.4"/>
    <row r="2" spans="1:9" ht="46.5" customHeight="1" x14ac:dyDescent="0.4"/>
    <row r="3" spans="1:9" ht="46.5" customHeight="1" x14ac:dyDescent="0.4">
      <c r="A3" t="s">
        <v>42</v>
      </c>
      <c r="B3" t="s">
        <v>41</v>
      </c>
      <c r="C3" t="s">
        <v>43</v>
      </c>
    </row>
    <row r="4" spans="1:9" x14ac:dyDescent="0.4">
      <c r="A4" t="s">
        <v>37</v>
      </c>
      <c r="B4" s="3" t="s">
        <v>427</v>
      </c>
      <c r="C4" t="s">
        <v>40</v>
      </c>
      <c r="G4" s="7"/>
      <c r="H4" s="7"/>
      <c r="I4" s="7"/>
    </row>
    <row r="5" spans="1:9" x14ac:dyDescent="0.4">
      <c r="A5" s="1" t="s">
        <v>34</v>
      </c>
      <c r="B5" s="3" t="s">
        <v>428</v>
      </c>
      <c r="C5" t="s">
        <v>40</v>
      </c>
      <c r="D5" s="7"/>
      <c r="G5" s="7"/>
      <c r="H5" s="7"/>
      <c r="I5" s="7"/>
    </row>
    <row r="6" spans="1:9" x14ac:dyDescent="0.4">
      <c r="A6" s="1" t="s">
        <v>35</v>
      </c>
      <c r="B6" s="3" t="s">
        <v>429</v>
      </c>
      <c r="C6" t="s">
        <v>40</v>
      </c>
      <c r="I6" s="7"/>
    </row>
    <row r="7" spans="1:9" x14ac:dyDescent="0.4">
      <c r="A7" s="1" t="s">
        <v>36</v>
      </c>
      <c r="B7" s="3" t="s">
        <v>430</v>
      </c>
      <c r="C7" t="s">
        <v>40</v>
      </c>
      <c r="H7" s="7"/>
      <c r="I7" s="7"/>
    </row>
    <row r="8" spans="1:9" x14ac:dyDescent="0.4">
      <c r="A8" s="1" t="s">
        <v>39</v>
      </c>
      <c r="B8" s="47">
        <v>5</v>
      </c>
      <c r="C8" t="s">
        <v>213</v>
      </c>
    </row>
    <row r="9" spans="1:9" x14ac:dyDescent="0.4">
      <c r="A9" s="1"/>
      <c r="B9" s="5"/>
      <c r="C9" t="s">
        <v>394</v>
      </c>
    </row>
    <row r="10" spans="1:9" x14ac:dyDescent="0.4">
      <c r="A10" s="1"/>
      <c r="B10" s="5"/>
    </row>
    <row r="11" spans="1:9" x14ac:dyDescent="0.4">
      <c r="A11" s="1"/>
      <c r="B11" s="5"/>
    </row>
    <row r="12" spans="1:9" x14ac:dyDescent="0.4">
      <c r="A12" s="1"/>
      <c r="B12" s="5"/>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O20"/>
  <sheetViews>
    <sheetView workbookViewId="0"/>
  </sheetViews>
  <sheetFormatPr defaultRowHeight="18.75" x14ac:dyDescent="0.4"/>
  <cols>
    <col min="1" max="1" width="19.875" bestFit="1" customWidth="1"/>
    <col min="2" max="2" width="27.25" customWidth="1"/>
    <col min="3" max="3" width="13.875" customWidth="1"/>
    <col min="6" max="6" width="23.5" customWidth="1"/>
    <col min="7" max="7" width="16.875" customWidth="1"/>
    <col min="10" max="10" width="23.5" customWidth="1"/>
    <col min="13" max="13" width="11.875" customWidth="1"/>
    <col min="14" max="14" width="24.125" customWidth="1"/>
    <col min="15" max="15" width="22.875" customWidth="1"/>
  </cols>
  <sheetData>
    <row r="1" spans="1:15" s="11" customFormat="1" ht="21" customHeight="1" x14ac:dyDescent="0.4">
      <c r="A1" s="11" t="s">
        <v>84</v>
      </c>
      <c r="B1" s="11" t="s">
        <v>86</v>
      </c>
      <c r="F1" s="11" t="s">
        <v>87</v>
      </c>
      <c r="J1" s="11" t="s">
        <v>88</v>
      </c>
      <c r="N1" s="11" t="s">
        <v>96</v>
      </c>
    </row>
    <row r="2" spans="1:15" s="11" customFormat="1" ht="21" customHeight="1" x14ac:dyDescent="0.4">
      <c r="A2" s="11" t="s">
        <v>85</v>
      </c>
      <c r="B2" s="15" t="s">
        <v>194</v>
      </c>
      <c r="F2" s="15" t="s">
        <v>195</v>
      </c>
      <c r="J2" s="15" t="s">
        <v>89</v>
      </c>
      <c r="N2" s="15" t="s">
        <v>90</v>
      </c>
    </row>
    <row r="3" spans="1:15" ht="48" customHeight="1" x14ac:dyDescent="0.4"/>
    <row r="5" spans="1:15" x14ac:dyDescent="0.4">
      <c r="M5" t="s">
        <v>42</v>
      </c>
      <c r="N5" t="s">
        <v>79</v>
      </c>
      <c r="O5" t="s">
        <v>43</v>
      </c>
    </row>
    <row r="6" spans="1:15" x14ac:dyDescent="0.4">
      <c r="M6" t="s">
        <v>94</v>
      </c>
      <c r="N6" s="3">
        <v>2000008</v>
      </c>
      <c r="O6" t="s">
        <v>92</v>
      </c>
    </row>
    <row r="7" spans="1:15" x14ac:dyDescent="0.4">
      <c r="M7" t="s">
        <v>95</v>
      </c>
      <c r="N7" s="3">
        <v>20221202</v>
      </c>
      <c r="O7" t="s">
        <v>93</v>
      </c>
    </row>
    <row r="14" spans="1:15" x14ac:dyDescent="0.4">
      <c r="A14" t="s">
        <v>70</v>
      </c>
      <c r="E14" t="s">
        <v>70</v>
      </c>
      <c r="I14" t="s">
        <v>70</v>
      </c>
      <c r="M14" t="s">
        <v>70</v>
      </c>
    </row>
    <row r="15" spans="1:15" x14ac:dyDescent="0.4">
      <c r="A15" t="s">
        <v>78</v>
      </c>
      <c r="B15" t="b">
        <v>1</v>
      </c>
      <c r="E15" t="s">
        <v>78</v>
      </c>
      <c r="F15" t="b">
        <v>1</v>
      </c>
      <c r="I15" t="s">
        <v>78</v>
      </c>
      <c r="J15" t="b">
        <v>1</v>
      </c>
      <c r="M15" t="s">
        <v>78</v>
      </c>
      <c r="N15" t="b">
        <v>1</v>
      </c>
    </row>
    <row r="16" spans="1:15" x14ac:dyDescent="0.4">
      <c r="A16" t="s">
        <v>77</v>
      </c>
      <c r="B16" t="b">
        <v>1</v>
      </c>
      <c r="E16" t="s">
        <v>77</v>
      </c>
      <c r="F16" t="b">
        <v>1</v>
      </c>
      <c r="I16" t="s">
        <v>77</v>
      </c>
      <c r="J16" t="b">
        <v>1</v>
      </c>
      <c r="M16" t="s">
        <v>77</v>
      </c>
      <c r="N16" t="b">
        <v>1</v>
      </c>
    </row>
    <row r="17" spans="1:14" x14ac:dyDescent="0.4">
      <c r="A17" t="s">
        <v>45</v>
      </c>
      <c r="B17" s="8" t="s">
        <v>155</v>
      </c>
      <c r="E17" t="s">
        <v>45</v>
      </c>
      <c r="F17" s="8" t="s">
        <v>156</v>
      </c>
      <c r="I17" t="s">
        <v>45</v>
      </c>
      <c r="J17" s="8" t="s">
        <v>157</v>
      </c>
      <c r="M17" t="s">
        <v>45</v>
      </c>
      <c r="N17" s="8" t="s">
        <v>91</v>
      </c>
    </row>
    <row r="18" spans="1:14" x14ac:dyDescent="0.4">
      <c r="A18" t="s">
        <v>44</v>
      </c>
      <c r="B18" s="13">
        <v>0</v>
      </c>
      <c r="E18" t="s">
        <v>44</v>
      </c>
      <c r="F18" s="13">
        <v>0</v>
      </c>
      <c r="I18" t="s">
        <v>44</v>
      </c>
      <c r="J18" s="13">
        <v>0</v>
      </c>
      <c r="M18" t="s">
        <v>44</v>
      </c>
      <c r="N18" s="13">
        <v>0</v>
      </c>
    </row>
    <row r="19" spans="1:14" x14ac:dyDescent="0.4">
      <c r="A19" t="s">
        <v>46</v>
      </c>
      <c r="B19" s="14">
        <v>0</v>
      </c>
      <c r="E19" t="s">
        <v>46</v>
      </c>
      <c r="F19" s="14">
        <v>0</v>
      </c>
      <c r="I19" t="s">
        <v>46</v>
      </c>
      <c r="J19" s="14">
        <v>0</v>
      </c>
      <c r="M19" t="s">
        <v>46</v>
      </c>
      <c r="N19" s="14">
        <v>0</v>
      </c>
    </row>
    <row r="20" spans="1:14" x14ac:dyDescent="0.4">
      <c r="A20" t="s">
        <v>47</v>
      </c>
      <c r="B20" s="14"/>
      <c r="E20" t="s">
        <v>47</v>
      </c>
      <c r="F20" s="14"/>
      <c r="I20" t="s">
        <v>47</v>
      </c>
      <c r="J20" s="14"/>
      <c r="M20" t="s">
        <v>47</v>
      </c>
      <c r="N20" s="14"/>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get_CLMZanKaiKanougaku">
                <anchor moveWithCells="1" sizeWithCells="1">
                  <from>
                    <xdr:col>1</xdr:col>
                    <xdr:colOff>142875</xdr:colOff>
                    <xdr:row>2</xdr:row>
                    <xdr:rowOff>123825</xdr:rowOff>
                  </from>
                  <to>
                    <xdr:col>1</xdr:col>
                    <xdr:colOff>1724025</xdr:colOff>
                    <xdr:row>2</xdr:row>
                    <xdr:rowOff>457200</xdr:rowOff>
                  </to>
                </anchor>
              </controlPr>
            </control>
          </mc:Choice>
        </mc:AlternateContent>
        <mc:AlternateContent xmlns:mc="http://schemas.openxmlformats.org/markup-compatibility/2006">
          <mc:Choice Requires="x14">
            <control shapeId="7170" r:id="rId5" name="Button 2">
              <controlPr defaultSize="0" print="0" autoFill="0" autoPict="0" macro="[0]!get_CLMZanShinkiKanoIjiritu">
                <anchor moveWithCells="1" sizeWithCells="1">
                  <from>
                    <xdr:col>5</xdr:col>
                    <xdr:colOff>142875</xdr:colOff>
                    <xdr:row>2</xdr:row>
                    <xdr:rowOff>123825</xdr:rowOff>
                  </from>
                  <to>
                    <xdr:col>5</xdr:col>
                    <xdr:colOff>1724025</xdr:colOff>
                    <xdr:row>2</xdr:row>
                    <xdr:rowOff>457200</xdr:rowOff>
                  </to>
                </anchor>
              </controlPr>
            </control>
          </mc:Choice>
        </mc:AlternateContent>
        <mc:AlternateContent xmlns:mc="http://schemas.openxmlformats.org/markup-compatibility/2006">
          <mc:Choice Requires="x14">
            <control shapeId="7171" r:id="rId6" name="Button 3">
              <controlPr defaultSize="0" print="0" autoFill="0" autoPict="0" macro="[0]!get_CLMOrderList">
                <anchor moveWithCells="1" sizeWithCells="1">
                  <from>
                    <xdr:col>9</xdr:col>
                    <xdr:colOff>142875</xdr:colOff>
                    <xdr:row>2</xdr:row>
                    <xdr:rowOff>123825</xdr:rowOff>
                  </from>
                  <to>
                    <xdr:col>9</xdr:col>
                    <xdr:colOff>1724025</xdr:colOff>
                    <xdr:row>2</xdr:row>
                    <xdr:rowOff>457200</xdr:rowOff>
                  </to>
                </anchor>
              </controlPr>
            </control>
          </mc:Choice>
        </mc:AlternateContent>
        <mc:AlternateContent xmlns:mc="http://schemas.openxmlformats.org/markup-compatibility/2006">
          <mc:Choice Requires="x14">
            <control shapeId="7172" r:id="rId7" name="Button 4">
              <controlPr defaultSize="0" print="0" autoFill="0" autoPict="0" macro="[0]!get_CLMOrderListDetail">
                <anchor moveWithCells="1" sizeWithCells="1">
                  <from>
                    <xdr:col>13</xdr:col>
                    <xdr:colOff>142875</xdr:colOff>
                    <xdr:row>2</xdr:row>
                    <xdr:rowOff>123825</xdr:rowOff>
                  </from>
                  <to>
                    <xdr:col>13</xdr:col>
                    <xdr:colOff>1724025</xdr:colOff>
                    <xdr:row>2</xdr:row>
                    <xdr:rowOff>457200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1"/>
  <sheetViews>
    <sheetView workbookViewId="0"/>
  </sheetViews>
  <sheetFormatPr defaultRowHeight="18.75" x14ac:dyDescent="0.4"/>
  <cols>
    <col min="1" max="1" width="14.875" customWidth="1"/>
    <col min="2" max="2" width="24.5" customWidth="1"/>
    <col min="3" max="3" width="51.875" customWidth="1"/>
    <col min="4" max="4" width="5.25" customWidth="1"/>
    <col min="5" max="5" width="13.875" customWidth="1"/>
    <col min="6" max="6" width="24.125" customWidth="1"/>
    <col min="7" max="7" width="21.375" customWidth="1"/>
    <col min="8" max="8" width="5.875" customWidth="1"/>
    <col min="9" max="9" width="12.125" customWidth="1"/>
    <col min="10" max="10" width="25.125" customWidth="1"/>
    <col min="13" max="13" width="25" customWidth="1"/>
    <col min="14" max="14" width="25.75" customWidth="1"/>
    <col min="15" max="15" width="43.25" customWidth="1"/>
    <col min="16" max="16" width="15.625" customWidth="1"/>
    <col min="17" max="17" width="14.25" bestFit="1" customWidth="1"/>
    <col min="18" max="18" width="26.625" customWidth="1"/>
    <col min="19" max="19" width="26.25" customWidth="1"/>
    <col min="21" max="21" width="16.375" customWidth="1"/>
    <col min="22" max="22" width="25.75" customWidth="1"/>
    <col min="23" max="23" width="37.625" customWidth="1"/>
  </cols>
  <sheetData>
    <row r="1" spans="1:23" s="16" customFormat="1" ht="17.25" x14ac:dyDescent="0.4">
      <c r="A1" s="16" t="s">
        <v>84</v>
      </c>
      <c r="B1" s="12" t="s">
        <v>115</v>
      </c>
      <c r="F1" s="16" t="s">
        <v>373</v>
      </c>
      <c r="J1" s="16" t="s">
        <v>372</v>
      </c>
      <c r="N1" s="16" t="s">
        <v>371</v>
      </c>
      <c r="R1" s="16" t="s">
        <v>113</v>
      </c>
      <c r="V1" s="16" t="s">
        <v>121</v>
      </c>
    </row>
    <row r="2" spans="1:23" x14ac:dyDescent="0.4">
      <c r="A2" s="11" t="s">
        <v>85</v>
      </c>
      <c r="B2" s="12" t="s">
        <v>116</v>
      </c>
      <c r="C2" s="12"/>
      <c r="D2" s="12"/>
      <c r="E2" s="12"/>
      <c r="F2" s="12" t="s">
        <v>118</v>
      </c>
      <c r="G2" s="12"/>
      <c r="H2" s="12"/>
      <c r="I2" s="12"/>
      <c r="J2" s="12" t="s">
        <v>119</v>
      </c>
      <c r="M2" s="12"/>
      <c r="N2" s="12" t="s">
        <v>191</v>
      </c>
      <c r="O2" s="12"/>
      <c r="P2" s="12"/>
      <c r="Q2" s="11"/>
      <c r="R2" s="15" t="s">
        <v>193</v>
      </c>
      <c r="S2" s="11"/>
      <c r="U2" s="12"/>
      <c r="V2" s="12" t="s">
        <v>122</v>
      </c>
    </row>
    <row r="3" spans="1:23" ht="40.5" customHeight="1" x14ac:dyDescent="0.4"/>
    <row r="4" spans="1:23" x14ac:dyDescent="0.4">
      <c r="A4" s="9" t="s">
        <v>66</v>
      </c>
      <c r="E4" s="9" t="s">
        <v>68</v>
      </c>
      <c r="I4" s="9" t="s">
        <v>71</v>
      </c>
      <c r="M4" s="9" t="s">
        <v>66</v>
      </c>
      <c r="U4" s="9" t="s">
        <v>66</v>
      </c>
    </row>
    <row r="5" spans="1:23" x14ac:dyDescent="0.4">
      <c r="A5" t="s">
        <v>42</v>
      </c>
      <c r="B5" t="s">
        <v>79</v>
      </c>
      <c r="C5" t="s">
        <v>43</v>
      </c>
      <c r="E5" t="s">
        <v>42</v>
      </c>
      <c r="F5" t="s">
        <v>41</v>
      </c>
      <c r="G5" t="s">
        <v>43</v>
      </c>
      <c r="J5" t="s">
        <v>125</v>
      </c>
      <c r="M5" t="s">
        <v>42</v>
      </c>
      <c r="N5" t="s">
        <v>79</v>
      </c>
      <c r="O5" t="s">
        <v>43</v>
      </c>
      <c r="Q5" t="s">
        <v>112</v>
      </c>
      <c r="U5" t="s">
        <v>42</v>
      </c>
      <c r="V5" t="s">
        <v>79</v>
      </c>
    </row>
    <row r="6" spans="1:23" x14ac:dyDescent="0.4">
      <c r="A6" s="7" t="s">
        <v>57</v>
      </c>
      <c r="B6" s="3">
        <v>9861</v>
      </c>
      <c r="C6" s="7" t="s">
        <v>53</v>
      </c>
      <c r="D6" s="7"/>
      <c r="E6" t="s">
        <v>62</v>
      </c>
      <c r="F6" s="3">
        <v>1000024</v>
      </c>
      <c r="M6" s="7" t="s">
        <v>97</v>
      </c>
      <c r="N6" s="3">
        <v>2000001</v>
      </c>
      <c r="O6" t="s">
        <v>104</v>
      </c>
      <c r="Q6" t="s">
        <v>112</v>
      </c>
      <c r="U6" s="7" t="s">
        <v>57</v>
      </c>
      <c r="V6" s="3">
        <v>9861</v>
      </c>
      <c r="W6" s="7" t="s">
        <v>53</v>
      </c>
    </row>
    <row r="7" spans="1:23" x14ac:dyDescent="0.4">
      <c r="A7" s="7" t="s">
        <v>58</v>
      </c>
      <c r="B7" s="3" t="s">
        <v>61</v>
      </c>
      <c r="C7" s="7" t="s">
        <v>54</v>
      </c>
      <c r="D7" s="7"/>
      <c r="E7" t="s">
        <v>38</v>
      </c>
      <c r="F7" s="3">
        <v>20221201</v>
      </c>
      <c r="M7" s="7" t="s">
        <v>98</v>
      </c>
      <c r="N7" s="3">
        <v>20221202</v>
      </c>
      <c r="O7" t="s">
        <v>103</v>
      </c>
      <c r="Q7" t="s">
        <v>112</v>
      </c>
      <c r="U7" s="7" t="s">
        <v>58</v>
      </c>
      <c r="V7" s="3" t="s">
        <v>61</v>
      </c>
      <c r="W7" s="7" t="s">
        <v>54</v>
      </c>
    </row>
    <row r="8" spans="1:23" x14ac:dyDescent="0.4">
      <c r="A8" t="s">
        <v>59</v>
      </c>
      <c r="B8" s="4">
        <v>0</v>
      </c>
      <c r="C8" t="s">
        <v>55</v>
      </c>
      <c r="F8" s="11" t="s">
        <v>67</v>
      </c>
      <c r="M8" t="s">
        <v>99</v>
      </c>
      <c r="N8" s="4" t="s">
        <v>106</v>
      </c>
      <c r="O8" t="s">
        <v>100</v>
      </c>
      <c r="Q8" t="s">
        <v>112</v>
      </c>
      <c r="U8" t="s">
        <v>59</v>
      </c>
      <c r="V8" s="4">
        <v>0</v>
      </c>
      <c r="W8" t="s">
        <v>55</v>
      </c>
    </row>
    <row r="9" spans="1:23" x14ac:dyDescent="0.4">
      <c r="A9" t="s">
        <v>60</v>
      </c>
      <c r="B9" s="4">
        <v>2395</v>
      </c>
      <c r="C9" t="s">
        <v>56</v>
      </c>
      <c r="E9" t="s">
        <v>69</v>
      </c>
      <c r="F9" t="s">
        <v>123</v>
      </c>
      <c r="M9" t="s">
        <v>101</v>
      </c>
      <c r="N9" s="4">
        <v>2345</v>
      </c>
      <c r="O9" t="s">
        <v>102</v>
      </c>
      <c r="Q9" t="s">
        <v>112</v>
      </c>
      <c r="U9" t="s">
        <v>60</v>
      </c>
      <c r="V9" s="4">
        <v>2370</v>
      </c>
      <c r="W9" t="s">
        <v>56</v>
      </c>
    </row>
    <row r="10" spans="1:23" x14ac:dyDescent="0.4">
      <c r="A10" t="s">
        <v>80</v>
      </c>
      <c r="B10" s="4">
        <v>500</v>
      </c>
      <c r="M10" t="s">
        <v>105</v>
      </c>
      <c r="N10" s="4" t="s">
        <v>374</v>
      </c>
      <c r="O10" t="s">
        <v>111</v>
      </c>
      <c r="Q10" t="s">
        <v>112</v>
      </c>
      <c r="U10" t="s">
        <v>80</v>
      </c>
      <c r="V10" s="4">
        <v>200</v>
      </c>
    </row>
    <row r="11" spans="1:23" x14ac:dyDescent="0.4">
      <c r="N11" s="11" t="s">
        <v>110</v>
      </c>
      <c r="Q11" t="s">
        <v>112</v>
      </c>
    </row>
    <row r="12" spans="1:23" x14ac:dyDescent="0.4">
      <c r="N12" t="s">
        <v>214</v>
      </c>
    </row>
    <row r="13" spans="1:23" x14ac:dyDescent="0.4">
      <c r="N13" t="s">
        <v>124</v>
      </c>
    </row>
    <row r="14" spans="1:23" x14ac:dyDescent="0.4">
      <c r="A14" t="s">
        <v>63</v>
      </c>
      <c r="E14" t="s">
        <v>70</v>
      </c>
      <c r="I14" t="s">
        <v>70</v>
      </c>
      <c r="M14" t="s">
        <v>70</v>
      </c>
      <c r="Q14" t="s">
        <v>70</v>
      </c>
      <c r="U14" t="s">
        <v>63</v>
      </c>
    </row>
    <row r="15" spans="1:23" x14ac:dyDescent="0.4">
      <c r="A15" t="s">
        <v>78</v>
      </c>
      <c r="B15" t="b">
        <v>1</v>
      </c>
      <c r="E15" t="s">
        <v>78</v>
      </c>
      <c r="F15" t="b">
        <v>1</v>
      </c>
      <c r="I15" t="s">
        <v>78</v>
      </c>
      <c r="J15" t="b">
        <v>1</v>
      </c>
      <c r="M15" t="s">
        <v>78</v>
      </c>
      <c r="N15" t="b">
        <v>1</v>
      </c>
      <c r="Q15" t="s">
        <v>78</v>
      </c>
      <c r="R15" t="b">
        <v>1</v>
      </c>
      <c r="U15" t="s">
        <v>78</v>
      </c>
      <c r="V15" t="b">
        <v>1</v>
      </c>
    </row>
    <row r="16" spans="1:23" x14ac:dyDescent="0.4">
      <c r="A16" t="s">
        <v>77</v>
      </c>
      <c r="B16" t="b">
        <v>1</v>
      </c>
      <c r="E16" t="s">
        <v>77</v>
      </c>
      <c r="F16" t="b">
        <v>1</v>
      </c>
      <c r="I16" t="s">
        <v>77</v>
      </c>
      <c r="J16" t="b">
        <v>1</v>
      </c>
      <c r="M16" t="s">
        <v>77</v>
      </c>
      <c r="N16" t="b">
        <v>1</v>
      </c>
      <c r="Q16" t="s">
        <v>77</v>
      </c>
      <c r="R16" t="b">
        <v>1</v>
      </c>
      <c r="U16" t="s">
        <v>77</v>
      </c>
      <c r="V16" t="b">
        <v>1</v>
      </c>
    </row>
    <row r="17" spans="1:22" x14ac:dyDescent="0.4">
      <c r="A17" t="s">
        <v>45</v>
      </c>
      <c r="B17" s="8" t="s">
        <v>83</v>
      </c>
      <c r="E17" t="s">
        <v>45</v>
      </c>
      <c r="F17" s="8" t="s">
        <v>81</v>
      </c>
      <c r="I17" t="s">
        <v>45</v>
      </c>
      <c r="J17" s="8" t="s">
        <v>82</v>
      </c>
      <c r="M17" t="s">
        <v>45</v>
      </c>
      <c r="N17" s="8" t="s">
        <v>107</v>
      </c>
      <c r="Q17" t="s">
        <v>45</v>
      </c>
      <c r="R17" s="8" t="s">
        <v>114</v>
      </c>
      <c r="U17" t="s">
        <v>45</v>
      </c>
      <c r="V17" s="8" t="s">
        <v>83</v>
      </c>
    </row>
    <row r="18" spans="1:22" x14ac:dyDescent="0.4">
      <c r="A18" t="s">
        <v>64</v>
      </c>
      <c r="B18" s="8">
        <v>0</v>
      </c>
      <c r="C18" t="s">
        <v>65</v>
      </c>
      <c r="E18" t="s">
        <v>44</v>
      </c>
      <c r="F18" s="8">
        <v>0</v>
      </c>
      <c r="I18" t="s">
        <v>44</v>
      </c>
      <c r="J18" s="8">
        <v>0</v>
      </c>
      <c r="M18" t="s">
        <v>44</v>
      </c>
      <c r="N18" s="8">
        <v>0</v>
      </c>
      <c r="O18" t="s">
        <v>65</v>
      </c>
      <c r="Q18" t="s">
        <v>44</v>
      </c>
      <c r="R18" s="13">
        <v>0</v>
      </c>
      <c r="U18" t="s">
        <v>64</v>
      </c>
      <c r="V18" s="8">
        <v>0</v>
      </c>
    </row>
    <row r="19" spans="1:22" x14ac:dyDescent="0.4">
      <c r="A19" t="s">
        <v>47</v>
      </c>
      <c r="B19" s="8"/>
      <c r="E19" t="s">
        <v>46</v>
      </c>
      <c r="F19" s="8">
        <v>0</v>
      </c>
      <c r="I19" t="s">
        <v>46</v>
      </c>
      <c r="J19" s="8">
        <v>0</v>
      </c>
      <c r="M19" t="s">
        <v>46</v>
      </c>
      <c r="N19" s="8">
        <v>0</v>
      </c>
      <c r="Q19" t="s">
        <v>46</v>
      </c>
      <c r="R19" s="14">
        <v>0</v>
      </c>
      <c r="U19" t="s">
        <v>47</v>
      </c>
      <c r="V19" s="8"/>
    </row>
    <row r="20" spans="1:22" x14ac:dyDescent="0.4">
      <c r="A20" t="s">
        <v>108</v>
      </c>
      <c r="B20" s="8">
        <v>1000028</v>
      </c>
      <c r="E20" t="s">
        <v>47</v>
      </c>
      <c r="F20" s="8"/>
      <c r="I20" t="s">
        <v>47</v>
      </c>
      <c r="J20" s="8"/>
      <c r="M20" t="s">
        <v>47</v>
      </c>
      <c r="N20" s="8"/>
      <c r="Q20" t="s">
        <v>47</v>
      </c>
      <c r="R20" s="14"/>
      <c r="U20" t="s">
        <v>108</v>
      </c>
      <c r="V20" s="8">
        <v>1000030</v>
      </c>
    </row>
    <row r="21" spans="1:22" x14ac:dyDescent="0.4">
      <c r="A21" t="s">
        <v>109</v>
      </c>
      <c r="B21" s="8">
        <v>20221201</v>
      </c>
      <c r="U21" t="s">
        <v>109</v>
      </c>
      <c r="V21" s="8">
        <v>20221201</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order_gen_buy">
                <anchor moveWithCells="1" sizeWithCells="1">
                  <from>
                    <xdr:col>1</xdr:col>
                    <xdr:colOff>161925</xdr:colOff>
                    <xdr:row>2</xdr:row>
                    <xdr:rowOff>133350</xdr:rowOff>
                  </from>
                  <to>
                    <xdr:col>1</xdr:col>
                    <xdr:colOff>1743075</xdr:colOff>
                    <xdr:row>2</xdr:row>
                    <xdr:rowOff>438150</xdr:rowOff>
                  </to>
                </anchor>
              </controlPr>
            </control>
          </mc:Choice>
        </mc:AlternateContent>
        <mc:AlternateContent xmlns:mc="http://schemas.openxmlformats.org/markup-compatibility/2006">
          <mc:Choice Requires="x14">
            <control shapeId="8194" r:id="rId4" name="Button 2">
              <controlPr defaultSize="0" print="0" autoFill="0" autoPict="0" macro="[0]!cancel_order">
                <anchor moveWithCells="1" sizeWithCells="1">
                  <from>
                    <xdr:col>5</xdr:col>
                    <xdr:colOff>161925</xdr:colOff>
                    <xdr:row>2</xdr:row>
                    <xdr:rowOff>133350</xdr:rowOff>
                  </from>
                  <to>
                    <xdr:col>5</xdr:col>
                    <xdr:colOff>1743075</xdr:colOff>
                    <xdr:row>2</xdr:row>
                    <xdr:rowOff>438150</xdr:rowOff>
                  </to>
                </anchor>
              </controlPr>
            </control>
          </mc:Choice>
        </mc:AlternateContent>
        <mc:AlternateContent xmlns:mc="http://schemas.openxmlformats.org/markup-compatibility/2006">
          <mc:Choice Requires="x14">
            <control shapeId="8195" r:id="rId5" name="Button 3">
              <controlPr defaultSize="0" print="0" autoFill="0" autoPict="0" macro="[0]!cancel_all_order">
                <anchor moveWithCells="1" sizeWithCells="1">
                  <from>
                    <xdr:col>9</xdr:col>
                    <xdr:colOff>161925</xdr:colOff>
                    <xdr:row>2</xdr:row>
                    <xdr:rowOff>133350</xdr:rowOff>
                  </from>
                  <to>
                    <xdr:col>9</xdr:col>
                    <xdr:colOff>1743075</xdr:colOff>
                    <xdr:row>2</xdr:row>
                    <xdr:rowOff>438150</xdr:rowOff>
                  </to>
                </anchor>
              </controlPr>
            </control>
          </mc:Choice>
        </mc:AlternateContent>
        <mc:AlternateContent xmlns:mc="http://schemas.openxmlformats.org/markup-compatibility/2006">
          <mc:Choice Requires="x14">
            <control shapeId="8196" r:id="rId6" name="Button 4">
              <controlPr defaultSize="0" print="0" autoFill="0" autoPict="0" macro="[0]!correct_order">
                <anchor moveWithCells="1" sizeWithCells="1">
                  <from>
                    <xdr:col>13</xdr:col>
                    <xdr:colOff>161925</xdr:colOff>
                    <xdr:row>2</xdr:row>
                    <xdr:rowOff>133350</xdr:rowOff>
                  </from>
                  <to>
                    <xdr:col>13</xdr:col>
                    <xdr:colOff>1743075</xdr:colOff>
                    <xdr:row>2</xdr:row>
                    <xdr:rowOff>438150</xdr:rowOff>
                  </to>
                </anchor>
              </controlPr>
            </control>
          </mc:Choice>
        </mc:AlternateContent>
        <mc:AlternateContent xmlns:mc="http://schemas.openxmlformats.org/markup-compatibility/2006">
          <mc:Choice Requires="x14">
            <control shapeId="8197" r:id="rId7" name="Button 5">
              <controlPr defaultSize="0" print="0" autoFill="0" autoPict="0" macro="[0]!get_CLMGenbutuKabuList">
                <anchor moveWithCells="1" sizeWithCells="1">
                  <from>
                    <xdr:col>17</xdr:col>
                    <xdr:colOff>142875</xdr:colOff>
                    <xdr:row>2</xdr:row>
                    <xdr:rowOff>123825</xdr:rowOff>
                  </from>
                  <to>
                    <xdr:col>17</xdr:col>
                    <xdr:colOff>1724025</xdr:colOff>
                    <xdr:row>2</xdr:row>
                    <xdr:rowOff>457200</xdr:rowOff>
                  </to>
                </anchor>
              </controlPr>
            </control>
          </mc:Choice>
        </mc:AlternateContent>
        <mc:AlternateContent xmlns:mc="http://schemas.openxmlformats.org/markup-compatibility/2006">
          <mc:Choice Requires="x14">
            <control shapeId="8198" r:id="rId8" name="Button 6">
              <controlPr defaultSize="0" print="0" autoFill="0" autoPict="0" macro="[0]!order_gen_sell">
                <anchor moveWithCells="1" sizeWithCells="1">
                  <from>
                    <xdr:col>21</xdr:col>
                    <xdr:colOff>161925</xdr:colOff>
                    <xdr:row>2</xdr:row>
                    <xdr:rowOff>133350</xdr:rowOff>
                  </from>
                  <to>
                    <xdr:col>21</xdr:col>
                    <xdr:colOff>1743075</xdr:colOff>
                    <xdr:row>2</xdr:row>
                    <xdr:rowOff>438150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1"/>
  <sheetViews>
    <sheetView workbookViewId="0"/>
  </sheetViews>
  <sheetFormatPr defaultRowHeight="18.75" x14ac:dyDescent="0.4"/>
  <cols>
    <col min="1" max="1" width="24.5" customWidth="1"/>
    <col min="2" max="2" width="30.875" customWidth="1"/>
    <col min="3" max="3" width="36.875" customWidth="1"/>
    <col min="5" max="5" width="24.75" customWidth="1"/>
    <col min="6" max="6" width="22.875" customWidth="1"/>
    <col min="7" max="7" width="37" customWidth="1"/>
    <col min="9" max="9" width="18.5" customWidth="1"/>
    <col min="10" max="10" width="24.75" customWidth="1"/>
    <col min="11" max="11" width="23.125" customWidth="1"/>
    <col min="13" max="13" width="24.25" customWidth="1"/>
    <col min="14" max="14" width="25.125" customWidth="1"/>
    <col min="15" max="15" width="38" customWidth="1"/>
    <col min="17" max="17" width="23.625" customWidth="1"/>
    <col min="18" max="18" width="30.75" customWidth="1"/>
    <col min="19" max="19" width="31.25" customWidth="1"/>
    <col min="21" max="21" width="24.5" customWidth="1"/>
    <col min="22" max="22" width="23.75" customWidth="1"/>
    <col min="23" max="23" width="15.875" customWidth="1"/>
    <col min="24" max="24" width="17.5" customWidth="1"/>
    <col min="25" max="25" width="14.125" customWidth="1"/>
    <col min="27" max="27" width="23.625" customWidth="1"/>
    <col min="28" max="28" width="23.75" customWidth="1"/>
    <col min="29" max="29" width="16" customWidth="1"/>
  </cols>
  <sheetData>
    <row r="1" spans="1:30" s="16" customFormat="1" ht="18" customHeight="1" x14ac:dyDescent="0.4">
      <c r="A1" s="16" t="s">
        <v>84</v>
      </c>
      <c r="B1" s="16" t="s">
        <v>126</v>
      </c>
      <c r="F1" s="16" t="s">
        <v>133</v>
      </c>
      <c r="J1" s="16" t="s">
        <v>139</v>
      </c>
      <c r="N1" s="16" t="s">
        <v>135</v>
      </c>
      <c r="R1" s="16" t="s">
        <v>137</v>
      </c>
      <c r="V1" s="16" t="s">
        <v>201</v>
      </c>
      <c r="AB1" s="16" t="s">
        <v>202</v>
      </c>
    </row>
    <row r="2" spans="1:30" s="16" customFormat="1" ht="46.5" customHeight="1" x14ac:dyDescent="0.4">
      <c r="A2" s="16" t="s">
        <v>85</v>
      </c>
      <c r="B2" s="12" t="s">
        <v>127</v>
      </c>
      <c r="F2" s="12" t="s">
        <v>134</v>
      </c>
      <c r="I2" s="11"/>
      <c r="J2" s="15" t="s">
        <v>140</v>
      </c>
      <c r="K2" s="11"/>
      <c r="N2" s="12" t="s">
        <v>136</v>
      </c>
      <c r="R2" s="12" t="s">
        <v>138</v>
      </c>
      <c r="V2" s="12" t="s">
        <v>200</v>
      </c>
      <c r="AB2" s="12" t="s">
        <v>181</v>
      </c>
    </row>
    <row r="3" spans="1:30" ht="51.75" customHeight="1" x14ac:dyDescent="0.4"/>
    <row r="4" spans="1:30" x14ac:dyDescent="0.4">
      <c r="A4" s="9" t="s">
        <v>66</v>
      </c>
      <c r="E4" s="9" t="s">
        <v>66</v>
      </c>
      <c r="M4" s="9" t="s">
        <v>66</v>
      </c>
      <c r="Q4" s="9" t="s">
        <v>66</v>
      </c>
      <c r="U4" s="9" t="s">
        <v>66</v>
      </c>
      <c r="AA4" s="9" t="s">
        <v>66</v>
      </c>
    </row>
    <row r="5" spans="1:30" x14ac:dyDescent="0.4">
      <c r="A5" t="s">
        <v>42</v>
      </c>
      <c r="B5" t="s">
        <v>41</v>
      </c>
      <c r="C5" t="s">
        <v>43</v>
      </c>
      <c r="E5" t="s">
        <v>42</v>
      </c>
      <c r="F5" t="s">
        <v>41</v>
      </c>
      <c r="G5" t="s">
        <v>43</v>
      </c>
      <c r="I5" t="s">
        <v>42</v>
      </c>
      <c r="J5" t="s">
        <v>41</v>
      </c>
      <c r="K5" t="s">
        <v>43</v>
      </c>
      <c r="M5" t="s">
        <v>42</v>
      </c>
      <c r="N5" t="s">
        <v>41</v>
      </c>
      <c r="O5" t="s">
        <v>43</v>
      </c>
      <c r="Q5" t="s">
        <v>42</v>
      </c>
      <c r="R5" t="s">
        <v>41</v>
      </c>
      <c r="S5" t="s">
        <v>43</v>
      </c>
      <c r="U5" t="s">
        <v>42</v>
      </c>
      <c r="V5" t="s">
        <v>41</v>
      </c>
      <c r="W5" t="s">
        <v>43</v>
      </c>
      <c r="AA5" t="s">
        <v>42</v>
      </c>
      <c r="AB5" t="s">
        <v>41</v>
      </c>
      <c r="AC5" t="s">
        <v>43</v>
      </c>
    </row>
    <row r="6" spans="1:30" x14ac:dyDescent="0.4">
      <c r="A6" s="7" t="s">
        <v>128</v>
      </c>
      <c r="B6" s="3">
        <v>9861</v>
      </c>
      <c r="C6" s="7" t="s">
        <v>72</v>
      </c>
      <c r="E6" s="7" t="s">
        <v>128</v>
      </c>
      <c r="F6" s="3">
        <v>9861</v>
      </c>
      <c r="G6" s="7" t="s">
        <v>53</v>
      </c>
      <c r="I6" s="7" t="s">
        <v>128</v>
      </c>
      <c r="J6" s="3"/>
      <c r="K6" s="7" t="s">
        <v>142</v>
      </c>
      <c r="M6" s="7" t="s">
        <v>128</v>
      </c>
      <c r="N6" s="3">
        <v>9861</v>
      </c>
      <c r="O6" s="7" t="s">
        <v>53</v>
      </c>
      <c r="Q6" s="7" t="s">
        <v>128</v>
      </c>
      <c r="R6" s="3">
        <v>9861</v>
      </c>
      <c r="S6" s="7" t="s">
        <v>53</v>
      </c>
      <c r="U6" s="7" t="s">
        <v>128</v>
      </c>
      <c r="V6" s="3">
        <v>9861</v>
      </c>
      <c r="W6" s="7" t="s">
        <v>53</v>
      </c>
      <c r="AA6" s="7" t="s">
        <v>128</v>
      </c>
      <c r="AB6" s="3">
        <v>9861</v>
      </c>
      <c r="AC6" s="7" t="s">
        <v>53</v>
      </c>
    </row>
    <row r="7" spans="1:30" x14ac:dyDescent="0.4">
      <c r="A7" s="7" t="s">
        <v>129</v>
      </c>
      <c r="B7" s="3" t="s">
        <v>73</v>
      </c>
      <c r="C7" s="7" t="s">
        <v>74</v>
      </c>
      <c r="E7" s="7" t="s">
        <v>129</v>
      </c>
      <c r="F7" s="3" t="s">
        <v>61</v>
      </c>
      <c r="G7" s="7" t="s">
        <v>54</v>
      </c>
      <c r="I7" t="s">
        <v>112</v>
      </c>
      <c r="K7" t="s">
        <v>141</v>
      </c>
      <c r="M7" s="7" t="s">
        <v>129</v>
      </c>
      <c r="N7" s="3" t="s">
        <v>61</v>
      </c>
      <c r="O7" s="7" t="s">
        <v>54</v>
      </c>
      <c r="Q7" s="7" t="s">
        <v>129</v>
      </c>
      <c r="R7" s="3" t="s">
        <v>61</v>
      </c>
      <c r="S7" s="7" t="s">
        <v>54</v>
      </c>
      <c r="U7" s="7" t="s">
        <v>129</v>
      </c>
      <c r="V7" s="3" t="s">
        <v>375</v>
      </c>
      <c r="W7" s="7" t="s">
        <v>54</v>
      </c>
      <c r="AA7" s="7" t="s">
        <v>129</v>
      </c>
      <c r="AB7" s="3" t="s">
        <v>61</v>
      </c>
      <c r="AC7" s="7" t="s">
        <v>54</v>
      </c>
    </row>
    <row r="8" spans="1:30" x14ac:dyDescent="0.4">
      <c r="A8" t="s">
        <v>130</v>
      </c>
      <c r="B8" s="4">
        <v>0</v>
      </c>
      <c r="C8" t="s">
        <v>75</v>
      </c>
      <c r="E8" t="s">
        <v>130</v>
      </c>
      <c r="F8" s="4">
        <v>0</v>
      </c>
      <c r="G8" t="s">
        <v>55</v>
      </c>
      <c r="I8" t="s">
        <v>112</v>
      </c>
      <c r="M8" t="s">
        <v>130</v>
      </c>
      <c r="N8" s="4">
        <v>0</v>
      </c>
      <c r="O8" t="s">
        <v>55</v>
      </c>
      <c r="Q8" t="s">
        <v>130</v>
      </c>
      <c r="R8" s="4">
        <v>0</v>
      </c>
      <c r="S8" t="s">
        <v>55</v>
      </c>
      <c r="U8" t="s">
        <v>130</v>
      </c>
      <c r="V8" s="3" t="s">
        <v>376</v>
      </c>
      <c r="W8" t="s">
        <v>55</v>
      </c>
      <c r="AA8" t="s">
        <v>130</v>
      </c>
      <c r="AB8" s="3" t="s">
        <v>376</v>
      </c>
      <c r="AC8" t="s">
        <v>55</v>
      </c>
    </row>
    <row r="9" spans="1:30" x14ac:dyDescent="0.4">
      <c r="A9" t="s">
        <v>131</v>
      </c>
      <c r="B9" s="4">
        <v>2325</v>
      </c>
      <c r="C9" t="s">
        <v>76</v>
      </c>
      <c r="E9" t="s">
        <v>131</v>
      </c>
      <c r="F9" s="4">
        <v>2345</v>
      </c>
      <c r="G9" t="s">
        <v>56</v>
      </c>
      <c r="I9" t="s">
        <v>112</v>
      </c>
      <c r="M9" t="s">
        <v>131</v>
      </c>
      <c r="N9" s="4">
        <v>2580</v>
      </c>
      <c r="O9" t="s">
        <v>56</v>
      </c>
      <c r="Q9" t="s">
        <v>131</v>
      </c>
      <c r="R9" s="4">
        <v>2430</v>
      </c>
      <c r="S9" t="s">
        <v>56</v>
      </c>
      <c r="U9" t="s">
        <v>131</v>
      </c>
      <c r="V9" s="3">
        <v>2555</v>
      </c>
      <c r="W9" t="s">
        <v>56</v>
      </c>
      <c r="AA9" t="s">
        <v>131</v>
      </c>
      <c r="AB9" s="4">
        <v>2580</v>
      </c>
      <c r="AC9" t="s">
        <v>56</v>
      </c>
    </row>
    <row r="10" spans="1:30" x14ac:dyDescent="0.4">
      <c r="A10" t="s">
        <v>132</v>
      </c>
      <c r="B10" s="4">
        <v>800</v>
      </c>
      <c r="E10" t="s">
        <v>132</v>
      </c>
      <c r="F10" s="4">
        <v>100</v>
      </c>
      <c r="I10" t="s">
        <v>112</v>
      </c>
      <c r="M10" t="s">
        <v>132</v>
      </c>
      <c r="N10" s="4">
        <v>100</v>
      </c>
      <c r="Q10" t="s">
        <v>132</v>
      </c>
      <c r="R10" s="4">
        <v>100</v>
      </c>
      <c r="U10" t="s">
        <v>132</v>
      </c>
      <c r="V10" s="3">
        <v>400</v>
      </c>
      <c r="AA10" t="s">
        <v>132</v>
      </c>
      <c r="AB10" s="4">
        <v>400</v>
      </c>
    </row>
    <row r="11" spans="1:30" x14ac:dyDescent="0.4">
      <c r="B11" t="s">
        <v>144</v>
      </c>
      <c r="F11" t="s">
        <v>144</v>
      </c>
      <c r="I11" t="s">
        <v>112</v>
      </c>
      <c r="N11" t="s">
        <v>144</v>
      </c>
      <c r="R11" t="s">
        <v>144</v>
      </c>
    </row>
    <row r="12" spans="1:30" x14ac:dyDescent="0.4">
      <c r="N12" t="s">
        <v>143</v>
      </c>
      <c r="R12" t="s">
        <v>143</v>
      </c>
    </row>
    <row r="13" spans="1:30" s="12" customFormat="1" x14ac:dyDescent="0.4">
      <c r="I13"/>
      <c r="J13"/>
      <c r="K13"/>
      <c r="U13" t="s">
        <v>153</v>
      </c>
      <c r="V13" t="s">
        <v>145</v>
      </c>
      <c r="W13" t="s">
        <v>146</v>
      </c>
      <c r="X13" t="s">
        <v>147</v>
      </c>
      <c r="AA13" t="s">
        <v>153</v>
      </c>
      <c r="AB13" t="s">
        <v>145</v>
      </c>
      <c r="AC13" t="s">
        <v>146</v>
      </c>
      <c r="AD13" t="s">
        <v>147</v>
      </c>
    </row>
    <row r="14" spans="1:30" ht="37.5" x14ac:dyDescent="0.4">
      <c r="A14" t="s">
        <v>63</v>
      </c>
      <c r="E14" t="s">
        <v>63</v>
      </c>
      <c r="I14" t="s">
        <v>70</v>
      </c>
      <c r="M14" t="s">
        <v>63</v>
      </c>
      <c r="Q14" t="s">
        <v>63</v>
      </c>
      <c r="V14" s="10" t="s">
        <v>148</v>
      </c>
      <c r="W14" t="s">
        <v>149</v>
      </c>
      <c r="X14" t="s">
        <v>150</v>
      </c>
      <c r="AB14" s="10" t="s">
        <v>148</v>
      </c>
      <c r="AC14" t="s">
        <v>149</v>
      </c>
      <c r="AD14" t="s">
        <v>150</v>
      </c>
    </row>
    <row r="15" spans="1:30" x14ac:dyDescent="0.4">
      <c r="A15" t="s">
        <v>78</v>
      </c>
      <c r="B15" t="b">
        <v>1</v>
      </c>
      <c r="E15" t="s">
        <v>78</v>
      </c>
      <c r="F15" t="b">
        <v>1</v>
      </c>
      <c r="I15" t="s">
        <v>78</v>
      </c>
      <c r="J15" t="b">
        <v>1</v>
      </c>
      <c r="M15" t="s">
        <v>78</v>
      </c>
      <c r="N15" t="b">
        <v>1</v>
      </c>
      <c r="Q15" t="s">
        <v>78</v>
      </c>
      <c r="R15" t="b">
        <v>1</v>
      </c>
      <c r="U15" s="12"/>
      <c r="V15" s="17">
        <v>202212010000029</v>
      </c>
      <c r="W15" s="18">
        <v>2</v>
      </c>
      <c r="X15" s="18">
        <v>200</v>
      </c>
      <c r="AA15" s="12"/>
      <c r="AB15" s="17">
        <v>202212020000002</v>
      </c>
      <c r="AC15" s="18">
        <v>2</v>
      </c>
      <c r="AD15" s="18">
        <v>200</v>
      </c>
    </row>
    <row r="16" spans="1:30" x14ac:dyDescent="0.4">
      <c r="A16" t="s">
        <v>77</v>
      </c>
      <c r="B16" t="b">
        <v>1</v>
      </c>
      <c r="E16" t="s">
        <v>77</v>
      </c>
      <c r="F16" t="b">
        <v>1</v>
      </c>
      <c r="I16" t="s">
        <v>77</v>
      </c>
      <c r="J16" t="b">
        <v>1</v>
      </c>
      <c r="M16" t="s">
        <v>77</v>
      </c>
      <c r="N16" t="b">
        <v>1</v>
      </c>
      <c r="Q16" t="s">
        <v>77</v>
      </c>
      <c r="R16" t="b">
        <v>1</v>
      </c>
      <c r="V16" s="17">
        <v>202212010000018</v>
      </c>
      <c r="W16" s="18">
        <v>1</v>
      </c>
      <c r="X16" s="18">
        <v>200</v>
      </c>
      <c r="AB16" s="17">
        <v>202212020000009</v>
      </c>
      <c r="AC16" s="18">
        <v>1</v>
      </c>
      <c r="AD16" s="18">
        <v>100</v>
      </c>
    </row>
    <row r="17" spans="1:30" x14ac:dyDescent="0.4">
      <c r="A17" t="s">
        <v>45</v>
      </c>
      <c r="B17" s="8" t="s">
        <v>83</v>
      </c>
      <c r="E17" t="s">
        <v>45</v>
      </c>
      <c r="F17" s="8" t="s">
        <v>83</v>
      </c>
      <c r="H17" s="7"/>
      <c r="I17" t="s">
        <v>45</v>
      </c>
      <c r="J17" s="8" t="s">
        <v>151</v>
      </c>
      <c r="L17" s="7"/>
      <c r="M17" t="s">
        <v>45</v>
      </c>
      <c r="N17" s="8" t="s">
        <v>83</v>
      </c>
      <c r="Q17" t="s">
        <v>45</v>
      </c>
      <c r="R17" s="8" t="s">
        <v>83</v>
      </c>
      <c r="V17" s="17"/>
      <c r="W17" s="18"/>
      <c r="X17" s="18"/>
      <c r="AB17" s="17">
        <v>202212020000007</v>
      </c>
      <c r="AC17" s="18">
        <v>3</v>
      </c>
      <c r="AD17" s="18">
        <v>100</v>
      </c>
    </row>
    <row r="18" spans="1:30" x14ac:dyDescent="0.4">
      <c r="A18" t="s">
        <v>64</v>
      </c>
      <c r="B18" s="8">
        <v>11102</v>
      </c>
      <c r="E18" t="s">
        <v>64</v>
      </c>
      <c r="F18" s="8">
        <v>0</v>
      </c>
      <c r="H18" s="7"/>
      <c r="I18" t="s">
        <v>44</v>
      </c>
      <c r="J18" s="13">
        <v>0</v>
      </c>
      <c r="L18" s="7"/>
      <c r="M18" t="s">
        <v>64</v>
      </c>
      <c r="N18" s="8">
        <v>0</v>
      </c>
      <c r="Q18" t="s">
        <v>64</v>
      </c>
      <c r="R18" s="8">
        <v>0</v>
      </c>
      <c r="V18" s="17"/>
      <c r="W18" s="18"/>
      <c r="X18" s="18"/>
      <c r="AB18" s="17"/>
      <c r="AC18" s="18"/>
      <c r="AD18" s="18"/>
    </row>
    <row r="19" spans="1:30" x14ac:dyDescent="0.4">
      <c r="A19" t="s">
        <v>47</v>
      </c>
      <c r="B19" s="8" t="s">
        <v>385</v>
      </c>
      <c r="E19" t="s">
        <v>47</v>
      </c>
      <c r="F19" s="8"/>
      <c r="I19" t="s">
        <v>46</v>
      </c>
      <c r="J19" s="14">
        <v>0</v>
      </c>
      <c r="M19" t="s">
        <v>47</v>
      </c>
      <c r="N19" s="8"/>
      <c r="Q19" t="s">
        <v>47</v>
      </c>
      <c r="R19" s="8"/>
      <c r="V19" s="17"/>
      <c r="W19" s="18"/>
      <c r="X19" s="18"/>
      <c r="AB19" s="17"/>
      <c r="AC19" s="18"/>
      <c r="AD19" s="18"/>
    </row>
    <row r="20" spans="1:30" ht="33" x14ac:dyDescent="0.4">
      <c r="A20" t="s">
        <v>108</v>
      </c>
      <c r="B20" s="8"/>
      <c r="E20" t="s">
        <v>108</v>
      </c>
      <c r="F20" s="8">
        <v>2000006</v>
      </c>
      <c r="I20" t="s">
        <v>47</v>
      </c>
      <c r="J20" s="14"/>
      <c r="M20" t="s">
        <v>108</v>
      </c>
      <c r="N20" s="8">
        <v>2000009</v>
      </c>
      <c r="Q20" t="s">
        <v>108</v>
      </c>
      <c r="R20" s="8">
        <v>1000032</v>
      </c>
      <c r="V20" s="19" t="s">
        <v>152</v>
      </c>
      <c r="W20" s="20" t="s">
        <v>203</v>
      </c>
      <c r="X20" s="20"/>
      <c r="AB20" s="19" t="s">
        <v>152</v>
      </c>
      <c r="AC20" s="20" t="s">
        <v>203</v>
      </c>
      <c r="AD20" s="20"/>
    </row>
    <row r="21" spans="1:30" x14ac:dyDescent="0.4">
      <c r="A21" t="s">
        <v>109</v>
      </c>
      <c r="B21" s="8"/>
      <c r="E21" t="s">
        <v>109</v>
      </c>
      <c r="F21" s="8">
        <v>20221202</v>
      </c>
      <c r="M21" t="s">
        <v>109</v>
      </c>
      <c r="N21" s="8">
        <v>20221202</v>
      </c>
      <c r="Q21" t="s">
        <v>109</v>
      </c>
      <c r="R21" s="8">
        <v>20221201</v>
      </c>
    </row>
    <row r="24" spans="1:30" x14ac:dyDescent="0.4">
      <c r="U24" t="s">
        <v>63</v>
      </c>
      <c r="AA24" t="s">
        <v>63</v>
      </c>
    </row>
    <row r="25" spans="1:30" x14ac:dyDescent="0.4">
      <c r="U25" t="s">
        <v>78</v>
      </c>
      <c r="V25" t="b">
        <v>1</v>
      </c>
      <c r="AA25" t="s">
        <v>78</v>
      </c>
      <c r="AB25" t="b">
        <v>1</v>
      </c>
    </row>
    <row r="26" spans="1:30" x14ac:dyDescent="0.4">
      <c r="U26" t="s">
        <v>77</v>
      </c>
      <c r="V26" t="b">
        <v>1</v>
      </c>
      <c r="AA26" t="s">
        <v>77</v>
      </c>
      <c r="AB26" t="b">
        <v>1</v>
      </c>
    </row>
    <row r="27" spans="1:30" x14ac:dyDescent="0.4">
      <c r="U27" t="s">
        <v>45</v>
      </c>
      <c r="V27" s="8" t="s">
        <v>83</v>
      </c>
      <c r="AA27" t="s">
        <v>45</v>
      </c>
      <c r="AB27" s="8" t="s">
        <v>83</v>
      </c>
    </row>
    <row r="28" spans="1:30" x14ac:dyDescent="0.4">
      <c r="U28" t="s">
        <v>64</v>
      </c>
      <c r="V28" s="8">
        <v>0</v>
      </c>
      <c r="AA28" t="s">
        <v>64</v>
      </c>
      <c r="AB28" s="8">
        <v>0</v>
      </c>
    </row>
    <row r="29" spans="1:30" x14ac:dyDescent="0.4">
      <c r="U29" t="s">
        <v>47</v>
      </c>
      <c r="V29" s="8"/>
      <c r="AA29" t="s">
        <v>47</v>
      </c>
      <c r="AB29" s="8"/>
    </row>
    <row r="30" spans="1:30" x14ac:dyDescent="0.4">
      <c r="U30" t="s">
        <v>108</v>
      </c>
      <c r="V30" s="8">
        <v>1000043</v>
      </c>
      <c r="AA30" t="s">
        <v>108</v>
      </c>
      <c r="AB30" s="8">
        <v>2000008</v>
      </c>
    </row>
    <row r="31" spans="1:30" x14ac:dyDescent="0.4">
      <c r="U31" t="s">
        <v>109</v>
      </c>
      <c r="V31" s="8">
        <v>20221201</v>
      </c>
      <c r="AA31" t="s">
        <v>109</v>
      </c>
      <c r="AB31" s="8">
        <v>20221202</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order_shinki_buy">
                <anchor moveWithCells="1" sizeWithCells="1">
                  <from>
                    <xdr:col>1</xdr:col>
                    <xdr:colOff>161925</xdr:colOff>
                    <xdr:row>2</xdr:row>
                    <xdr:rowOff>133350</xdr:rowOff>
                  </from>
                  <to>
                    <xdr:col>1</xdr:col>
                    <xdr:colOff>2152650</xdr:colOff>
                    <xdr:row>2</xdr:row>
                    <xdr:rowOff>438150</xdr:rowOff>
                  </to>
                </anchor>
              </controlPr>
            </control>
          </mc:Choice>
        </mc:AlternateContent>
        <mc:AlternateContent xmlns:mc="http://schemas.openxmlformats.org/markup-compatibility/2006">
          <mc:Choice Requires="x14">
            <control shapeId="3077" r:id="rId4" name="Button 5">
              <controlPr defaultSize="0" print="0" autoFill="0" autoPict="0" macro="[0]!order_shinki_sell">
                <anchor moveWithCells="1" sizeWithCells="1">
                  <from>
                    <xdr:col>5</xdr:col>
                    <xdr:colOff>161925</xdr:colOff>
                    <xdr:row>2</xdr:row>
                    <xdr:rowOff>133350</xdr:rowOff>
                  </from>
                  <to>
                    <xdr:col>5</xdr:col>
                    <xdr:colOff>2152650</xdr:colOff>
                    <xdr:row>2</xdr:row>
                    <xdr:rowOff>438150</xdr:rowOff>
                  </to>
                </anchor>
              </controlPr>
            </control>
          </mc:Choice>
        </mc:AlternateContent>
        <mc:AlternateContent xmlns:mc="http://schemas.openxmlformats.org/markup-compatibility/2006">
          <mc:Choice Requires="x14">
            <control shapeId="3078" r:id="rId5" name="Button 6">
              <controlPr defaultSize="0" print="0" autoFill="0" autoPict="0" macro="[0]!order_hensai_buy">
                <anchor moveWithCells="1" sizeWithCells="1">
                  <from>
                    <xdr:col>13</xdr:col>
                    <xdr:colOff>161925</xdr:colOff>
                    <xdr:row>2</xdr:row>
                    <xdr:rowOff>133350</xdr:rowOff>
                  </from>
                  <to>
                    <xdr:col>13</xdr:col>
                    <xdr:colOff>2152650</xdr:colOff>
                    <xdr:row>2</xdr:row>
                    <xdr:rowOff>438150</xdr:rowOff>
                  </to>
                </anchor>
              </controlPr>
            </control>
          </mc:Choice>
        </mc:AlternateContent>
        <mc:AlternateContent xmlns:mc="http://schemas.openxmlformats.org/markup-compatibility/2006">
          <mc:Choice Requires="x14">
            <control shapeId="3079" r:id="rId6" name="Button 7">
              <controlPr defaultSize="0" print="0" autoFill="0" autoPict="0" macro="[0]!order_hensai_sell">
                <anchor moveWithCells="1" sizeWithCells="1">
                  <from>
                    <xdr:col>17</xdr:col>
                    <xdr:colOff>161925</xdr:colOff>
                    <xdr:row>2</xdr:row>
                    <xdr:rowOff>133350</xdr:rowOff>
                  </from>
                  <to>
                    <xdr:col>17</xdr:col>
                    <xdr:colOff>2152650</xdr:colOff>
                    <xdr:row>2</xdr:row>
                    <xdr:rowOff>438150</xdr:rowOff>
                  </to>
                </anchor>
              </controlPr>
            </control>
          </mc:Choice>
        </mc:AlternateContent>
        <mc:AlternateContent xmlns:mc="http://schemas.openxmlformats.org/markup-compatibility/2006">
          <mc:Choice Requires="x14">
            <control shapeId="3080" r:id="rId7" name="Button 8">
              <controlPr defaultSize="0" print="0" autoFill="0" autoPict="0" macro="[0]!get_CLMShinyouTategyokuList">
                <anchor moveWithCells="1" sizeWithCells="1">
                  <from>
                    <xdr:col>9</xdr:col>
                    <xdr:colOff>142875</xdr:colOff>
                    <xdr:row>2</xdr:row>
                    <xdr:rowOff>123825</xdr:rowOff>
                  </from>
                  <to>
                    <xdr:col>9</xdr:col>
                    <xdr:colOff>1724025</xdr:colOff>
                    <xdr:row>2</xdr:row>
                    <xdr:rowOff>457200</xdr:rowOff>
                  </to>
                </anchor>
              </controlPr>
            </control>
          </mc:Choice>
        </mc:AlternateContent>
        <mc:AlternateContent xmlns:mc="http://schemas.openxmlformats.org/markup-compatibility/2006">
          <mc:Choice Requires="x14">
            <control shapeId="3081" r:id="rId8" name="Button 9">
              <controlPr defaultSize="0" print="0" autoFill="0" autoPict="0" macro="[0]!order_hensai_sell_aCLMKabuHensaiData">
                <anchor moveWithCells="1" sizeWithCells="1">
                  <from>
                    <xdr:col>27</xdr:col>
                    <xdr:colOff>161925</xdr:colOff>
                    <xdr:row>2</xdr:row>
                    <xdr:rowOff>38100</xdr:rowOff>
                  </from>
                  <to>
                    <xdr:col>27</xdr:col>
                    <xdr:colOff>1600200</xdr:colOff>
                    <xdr:row>2</xdr:row>
                    <xdr:rowOff>628650</xdr:rowOff>
                  </to>
                </anchor>
              </controlPr>
            </control>
          </mc:Choice>
        </mc:AlternateContent>
        <mc:AlternateContent xmlns:mc="http://schemas.openxmlformats.org/markup-compatibility/2006">
          <mc:Choice Requires="x14">
            <control shapeId="3082" r:id="rId9" name="Button 10">
              <controlPr defaultSize="0" print="0" autoFill="0" autoPict="0" macro="[0]!order_hensai_buy_aCLMKabuHensaiData">
                <anchor moveWithCells="1" sizeWithCells="1">
                  <from>
                    <xdr:col>21</xdr:col>
                    <xdr:colOff>161925</xdr:colOff>
                    <xdr:row>2</xdr:row>
                    <xdr:rowOff>38100</xdr:rowOff>
                  </from>
                  <to>
                    <xdr:col>21</xdr:col>
                    <xdr:colOff>1600200</xdr:colOff>
                    <xdr:row>2</xdr:row>
                    <xdr:rowOff>628650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X228"/>
  <sheetViews>
    <sheetView workbookViewId="0"/>
  </sheetViews>
  <sheetFormatPr defaultRowHeight="18.75" x14ac:dyDescent="0.4"/>
  <cols>
    <col min="1" max="1" width="16.5" bestFit="1" customWidth="1"/>
    <col min="2" max="2" width="26.25" customWidth="1"/>
    <col min="3" max="5" width="16.5" customWidth="1"/>
    <col min="6" max="6" width="25.5" customWidth="1"/>
    <col min="8" max="8" width="4.25" customWidth="1"/>
    <col min="9" max="9" width="8.375" customWidth="1"/>
    <col min="10" max="10" width="18" customWidth="1"/>
    <col min="11" max="11" width="7.75" customWidth="1"/>
    <col min="12" max="12" width="3.375" bestFit="1" customWidth="1"/>
    <col min="15" max="24" width="8.375" customWidth="1"/>
  </cols>
  <sheetData>
    <row r="1" spans="1:24" x14ac:dyDescent="0.4">
      <c r="A1" s="11" t="s">
        <v>84</v>
      </c>
      <c r="B1" s="11" t="s">
        <v>364</v>
      </c>
      <c r="C1" s="11"/>
      <c r="D1" s="11"/>
      <c r="E1" s="11"/>
      <c r="F1" s="11" t="s">
        <v>363</v>
      </c>
    </row>
    <row r="2" spans="1:24" ht="19.5" thickBot="1" x14ac:dyDescent="0.45">
      <c r="A2" s="11" t="s">
        <v>85</v>
      </c>
      <c r="B2" s="11"/>
      <c r="C2" s="11"/>
      <c r="D2" s="11"/>
      <c r="E2" s="11"/>
      <c r="F2" s="15" t="s">
        <v>194</v>
      </c>
      <c r="O2" t="s">
        <v>362</v>
      </c>
      <c r="Q2" s="35" t="s">
        <v>370</v>
      </c>
      <c r="R2" s="36" t="s">
        <v>369</v>
      </c>
    </row>
    <row r="3" spans="1:24" ht="49.5" customHeight="1" thickTop="1" x14ac:dyDescent="0.4">
      <c r="H3" s="25" t="s">
        <v>356</v>
      </c>
      <c r="I3" s="26" t="s">
        <v>360</v>
      </c>
      <c r="J3" s="26" t="s">
        <v>358</v>
      </c>
      <c r="K3" s="26" t="s">
        <v>357</v>
      </c>
      <c r="L3" s="27" t="s">
        <v>359</v>
      </c>
      <c r="N3" t="s">
        <v>215</v>
      </c>
      <c r="O3" s="4" t="str">
        <f>I16</f>
        <v>pDOP</v>
      </c>
      <c r="P3" s="4" t="str">
        <f>I20</f>
        <v>tDPP:T</v>
      </c>
      <c r="Q3" s="4" t="str">
        <f>I10</f>
        <v>pDHP</v>
      </c>
      <c r="R3" s="4" t="str">
        <f>I11</f>
        <v>tDHP:T</v>
      </c>
      <c r="S3" s="4" t="str">
        <f>I14</f>
        <v>pDLP</v>
      </c>
      <c r="T3" s="4" t="str">
        <f>I15</f>
        <v>tDLP:T</v>
      </c>
      <c r="U3" s="4" t="str">
        <f>I19</f>
        <v>pDPP</v>
      </c>
      <c r="V3" s="4" t="str">
        <f>I20</f>
        <v>tDPP:T</v>
      </c>
      <c r="W3" s="4" t="str">
        <f>I24</f>
        <v>pDYWP</v>
      </c>
      <c r="X3" s="4" t="str">
        <f>I21</f>
        <v>pDV</v>
      </c>
    </row>
    <row r="4" spans="1:24" x14ac:dyDescent="0.4">
      <c r="B4" s="37" t="s">
        <v>377</v>
      </c>
      <c r="F4" s="37" t="s">
        <v>378</v>
      </c>
      <c r="H4" s="28">
        <v>1</v>
      </c>
      <c r="I4" s="29" t="s">
        <v>264</v>
      </c>
      <c r="J4" s="29" t="s">
        <v>265</v>
      </c>
      <c r="K4" s="29" t="str">
        <f>MID(I4,2,LEN(I4)-1)</f>
        <v>AAV</v>
      </c>
      <c r="L4" s="30" t="str">
        <f>LEFT(I4,1)</f>
        <v>p</v>
      </c>
      <c r="N4" s="4">
        <v>1332</v>
      </c>
    </row>
    <row r="5" spans="1:24" x14ac:dyDescent="0.4">
      <c r="A5" t="s">
        <v>42</v>
      </c>
      <c r="B5" t="s">
        <v>79</v>
      </c>
      <c r="C5" t="s">
        <v>43</v>
      </c>
      <c r="H5" s="28">
        <v>2</v>
      </c>
      <c r="I5" s="29" t="s">
        <v>266</v>
      </c>
      <c r="J5" s="29" t="s">
        <v>267</v>
      </c>
      <c r="K5" s="29" t="str">
        <f t="shared" ref="K5:K68" si="0">MID(I5,2,LEN(I5)-1)</f>
        <v>ABV</v>
      </c>
      <c r="L5" s="30" t="str">
        <f t="shared" ref="L5:L68" si="1">LEFT(I5,1)</f>
        <v>p</v>
      </c>
      <c r="N5" s="4">
        <v>1333</v>
      </c>
      <c r="P5" s="38" t="s">
        <v>381</v>
      </c>
    </row>
    <row r="6" spans="1:24" x14ac:dyDescent="0.4">
      <c r="A6" s="7" t="s">
        <v>365</v>
      </c>
      <c r="B6" s="3">
        <v>9432</v>
      </c>
      <c r="C6" s="7" t="s">
        <v>367</v>
      </c>
      <c r="H6" s="28">
        <v>3</v>
      </c>
      <c r="I6" s="29" t="s">
        <v>222</v>
      </c>
      <c r="J6" s="29" t="s">
        <v>250</v>
      </c>
      <c r="K6" s="29" t="str">
        <f t="shared" si="0"/>
        <v>AV</v>
      </c>
      <c r="L6" s="30" t="str">
        <f t="shared" si="1"/>
        <v>p</v>
      </c>
      <c r="N6" s="4">
        <v>1605</v>
      </c>
      <c r="P6" s="37" t="s">
        <v>384</v>
      </c>
    </row>
    <row r="7" spans="1:24" x14ac:dyDescent="0.4">
      <c r="A7" s="7" t="s">
        <v>366</v>
      </c>
      <c r="B7" s="3" t="s">
        <v>61</v>
      </c>
      <c r="C7" s="7" t="s">
        <v>54</v>
      </c>
      <c r="H7" s="28">
        <v>4</v>
      </c>
      <c r="I7" s="29" t="s">
        <v>225</v>
      </c>
      <c r="J7" s="29" t="s">
        <v>253</v>
      </c>
      <c r="K7" s="29" t="str">
        <f t="shared" si="0"/>
        <v>BV</v>
      </c>
      <c r="L7" s="30" t="str">
        <f t="shared" si="1"/>
        <v>p</v>
      </c>
      <c r="N7" s="4">
        <v>1721</v>
      </c>
      <c r="P7" s="37" t="s">
        <v>382</v>
      </c>
      <c r="U7" s="24"/>
    </row>
    <row r="8" spans="1:24" x14ac:dyDescent="0.4">
      <c r="H8" s="28">
        <v>5</v>
      </c>
      <c r="I8" s="29" t="s">
        <v>256</v>
      </c>
      <c r="J8" s="29" t="s">
        <v>257</v>
      </c>
      <c r="K8" s="29" t="str">
        <f t="shared" si="0"/>
        <v>DCFS</v>
      </c>
      <c r="L8" s="30" t="str">
        <f t="shared" si="1"/>
        <v>x</v>
      </c>
      <c r="N8" s="4">
        <v>1801</v>
      </c>
    </row>
    <row r="9" spans="1:24" x14ac:dyDescent="0.4">
      <c r="H9" s="28">
        <v>6</v>
      </c>
      <c r="I9" s="29" t="s">
        <v>258</v>
      </c>
      <c r="J9" s="29" t="s">
        <v>259</v>
      </c>
      <c r="K9" s="29" t="str">
        <f t="shared" si="0"/>
        <v>DHF</v>
      </c>
      <c r="L9" s="30" t="str">
        <f t="shared" si="1"/>
        <v>p</v>
      </c>
      <c r="N9" s="4">
        <v>1802</v>
      </c>
      <c r="O9" s="39" t="s">
        <v>379</v>
      </c>
      <c r="P9" s="37" t="s">
        <v>383</v>
      </c>
    </row>
    <row r="10" spans="1:24" x14ac:dyDescent="0.4">
      <c r="H10" s="28">
        <v>7</v>
      </c>
      <c r="I10" s="29" t="s">
        <v>238</v>
      </c>
      <c r="J10" s="29" t="s">
        <v>239</v>
      </c>
      <c r="K10" s="29" t="str">
        <f t="shared" si="0"/>
        <v>DHP</v>
      </c>
      <c r="L10" s="30" t="str">
        <f t="shared" si="1"/>
        <v>p</v>
      </c>
      <c r="N10" s="4">
        <v>1803</v>
      </c>
      <c r="P10" s="37" t="s">
        <v>380</v>
      </c>
    </row>
    <row r="11" spans="1:24" x14ac:dyDescent="0.4">
      <c r="H11" s="28">
        <v>8</v>
      </c>
      <c r="I11" s="29" t="s">
        <v>240</v>
      </c>
      <c r="J11" s="29" t="s">
        <v>241</v>
      </c>
      <c r="K11" s="29" t="str">
        <f t="shared" si="0"/>
        <v>DHP:T</v>
      </c>
      <c r="L11" s="30" t="str">
        <f t="shared" si="1"/>
        <v>t</v>
      </c>
      <c r="N11" s="4">
        <v>1808</v>
      </c>
    </row>
    <row r="12" spans="1:24" x14ac:dyDescent="0.4">
      <c r="H12" s="28">
        <v>9</v>
      </c>
      <c r="I12" s="29" t="s">
        <v>262</v>
      </c>
      <c r="J12" s="29" t="s">
        <v>263</v>
      </c>
      <c r="K12" s="29" t="str">
        <f t="shared" si="0"/>
        <v>DJ</v>
      </c>
      <c r="L12" s="30" t="str">
        <f t="shared" si="1"/>
        <v>p</v>
      </c>
      <c r="N12" s="4">
        <v>1812</v>
      </c>
    </row>
    <row r="13" spans="1:24" x14ac:dyDescent="0.4">
      <c r="H13" s="28">
        <v>10</v>
      </c>
      <c r="I13" s="29" t="s">
        <v>260</v>
      </c>
      <c r="J13" s="29" t="s">
        <v>261</v>
      </c>
      <c r="K13" s="29" t="str">
        <f t="shared" si="0"/>
        <v>DLF</v>
      </c>
      <c r="L13" s="30" t="str">
        <f t="shared" si="1"/>
        <v>p</v>
      </c>
      <c r="N13" s="4">
        <v>1925</v>
      </c>
      <c r="P13" s="37" t="s">
        <v>378</v>
      </c>
    </row>
    <row r="14" spans="1:24" x14ac:dyDescent="0.4">
      <c r="A14" t="s">
        <v>70</v>
      </c>
      <c r="H14" s="28">
        <v>11</v>
      </c>
      <c r="I14" s="29" t="s">
        <v>242</v>
      </c>
      <c r="J14" s="29" t="s">
        <v>243</v>
      </c>
      <c r="K14" s="29" t="str">
        <f t="shared" si="0"/>
        <v>DLP</v>
      </c>
      <c r="L14" s="30" t="str">
        <f t="shared" si="1"/>
        <v>p</v>
      </c>
      <c r="N14" s="4">
        <v>1928</v>
      </c>
    </row>
    <row r="15" spans="1:24" x14ac:dyDescent="0.4">
      <c r="A15" t="s">
        <v>78</v>
      </c>
      <c r="B15" t="b">
        <v>1</v>
      </c>
      <c r="E15" t="s">
        <v>78</v>
      </c>
      <c r="F15" t="b">
        <v>1</v>
      </c>
      <c r="H15" s="28">
        <v>12</v>
      </c>
      <c r="I15" s="29" t="s">
        <v>244</v>
      </c>
      <c r="J15" s="29" t="s">
        <v>245</v>
      </c>
      <c r="K15" s="29" t="str">
        <f t="shared" si="0"/>
        <v>DLP:T</v>
      </c>
      <c r="L15" s="30" t="str">
        <f t="shared" si="1"/>
        <v>t</v>
      </c>
      <c r="N15" s="4">
        <v>1963</v>
      </c>
    </row>
    <row r="16" spans="1:24" x14ac:dyDescent="0.4">
      <c r="A16" t="s">
        <v>77</v>
      </c>
      <c r="B16" t="b">
        <v>1</v>
      </c>
      <c r="E16" t="s">
        <v>77</v>
      </c>
      <c r="F16" t="b">
        <v>1</v>
      </c>
      <c r="H16" s="28">
        <v>13</v>
      </c>
      <c r="I16" s="29" t="s">
        <v>234</v>
      </c>
      <c r="J16" s="29" t="s">
        <v>235</v>
      </c>
      <c r="K16" s="29" t="str">
        <f t="shared" si="0"/>
        <v>DOP</v>
      </c>
      <c r="L16" s="30" t="str">
        <f t="shared" si="1"/>
        <v>p</v>
      </c>
      <c r="N16" s="4">
        <v>2002</v>
      </c>
    </row>
    <row r="17" spans="1:14" x14ac:dyDescent="0.4">
      <c r="A17" t="s">
        <v>45</v>
      </c>
      <c r="B17" s="8" t="s">
        <v>368</v>
      </c>
      <c r="E17" t="s">
        <v>45</v>
      </c>
      <c r="F17" s="8" t="s">
        <v>411</v>
      </c>
      <c r="H17" s="28">
        <v>14</v>
      </c>
      <c r="I17" s="29" t="s">
        <v>236</v>
      </c>
      <c r="J17" s="29" t="s">
        <v>237</v>
      </c>
      <c r="K17" s="29" t="str">
        <f t="shared" si="0"/>
        <v>DOP:T</v>
      </c>
      <c r="L17" s="30" t="str">
        <f t="shared" si="1"/>
        <v>t</v>
      </c>
      <c r="N17" s="4">
        <v>2269</v>
      </c>
    </row>
    <row r="18" spans="1:14" x14ac:dyDescent="0.4">
      <c r="A18" t="s">
        <v>44</v>
      </c>
      <c r="B18" s="13">
        <v>0</v>
      </c>
      <c r="E18" t="s">
        <v>44</v>
      </c>
      <c r="F18" s="13">
        <v>0</v>
      </c>
      <c r="H18" s="28">
        <v>15</v>
      </c>
      <c r="I18" s="29" t="s">
        <v>230</v>
      </c>
      <c r="J18" s="29" t="s">
        <v>231</v>
      </c>
      <c r="K18" s="29" t="str">
        <f t="shared" si="0"/>
        <v>DPG</v>
      </c>
      <c r="L18" s="30" t="str">
        <f t="shared" si="1"/>
        <v>p</v>
      </c>
      <c r="N18" s="4">
        <v>2282</v>
      </c>
    </row>
    <row r="19" spans="1:14" x14ac:dyDescent="0.4">
      <c r="A19" t="s">
        <v>361</v>
      </c>
      <c r="B19" s="14"/>
      <c r="E19" t="s">
        <v>361</v>
      </c>
      <c r="F19" s="14"/>
      <c r="H19" s="28">
        <v>16</v>
      </c>
      <c r="I19" s="29" t="s">
        <v>216</v>
      </c>
      <c r="J19" s="29" t="s">
        <v>228</v>
      </c>
      <c r="K19" s="29" t="str">
        <f t="shared" si="0"/>
        <v>DPP</v>
      </c>
      <c r="L19" s="30" t="str">
        <f t="shared" si="1"/>
        <v>p</v>
      </c>
      <c r="N19" s="4">
        <v>2413</v>
      </c>
    </row>
    <row r="20" spans="1:14" x14ac:dyDescent="0.4">
      <c r="F20" s="34"/>
      <c r="H20" s="28">
        <v>17</v>
      </c>
      <c r="I20" s="29" t="s">
        <v>217</v>
      </c>
      <c r="J20" s="29" t="s">
        <v>229</v>
      </c>
      <c r="K20" s="29" t="str">
        <f t="shared" si="0"/>
        <v>DPP:T</v>
      </c>
      <c r="L20" s="30" t="str">
        <f t="shared" si="1"/>
        <v>t</v>
      </c>
      <c r="N20" s="4">
        <v>2432</v>
      </c>
    </row>
    <row r="21" spans="1:14" x14ac:dyDescent="0.4">
      <c r="H21" s="28">
        <v>18</v>
      </c>
      <c r="I21" s="29" t="s">
        <v>246</v>
      </c>
      <c r="J21" s="29" t="s">
        <v>247</v>
      </c>
      <c r="K21" s="29" t="str">
        <f t="shared" si="0"/>
        <v>DV</v>
      </c>
      <c r="L21" s="30" t="str">
        <f t="shared" si="1"/>
        <v>p</v>
      </c>
      <c r="N21" s="4">
        <v>2501</v>
      </c>
    </row>
    <row r="22" spans="1:14" x14ac:dyDescent="0.4">
      <c r="H22" s="28">
        <v>19</v>
      </c>
      <c r="I22" s="29" t="s">
        <v>254</v>
      </c>
      <c r="J22" s="29" t="s">
        <v>255</v>
      </c>
      <c r="K22" s="29" t="str">
        <f t="shared" si="0"/>
        <v>DVES</v>
      </c>
      <c r="L22" s="30" t="str">
        <f t="shared" si="1"/>
        <v>x</v>
      </c>
      <c r="N22" s="4">
        <v>2502</v>
      </c>
    </row>
    <row r="23" spans="1:14" x14ac:dyDescent="0.4">
      <c r="H23" s="28">
        <v>20</v>
      </c>
      <c r="I23" s="29" t="s">
        <v>219</v>
      </c>
      <c r="J23" s="29" t="s">
        <v>233</v>
      </c>
      <c r="K23" s="29" t="str">
        <f t="shared" si="0"/>
        <v>DYRP</v>
      </c>
      <c r="L23" s="30" t="str">
        <f t="shared" si="1"/>
        <v>p</v>
      </c>
      <c r="N23" s="4">
        <v>2503</v>
      </c>
    </row>
    <row r="24" spans="1:14" x14ac:dyDescent="0.4">
      <c r="H24" s="28">
        <v>21</v>
      </c>
      <c r="I24" s="29" t="s">
        <v>218</v>
      </c>
      <c r="J24" s="29" t="s">
        <v>232</v>
      </c>
      <c r="K24" s="29" t="str">
        <f t="shared" si="0"/>
        <v>DYWP</v>
      </c>
      <c r="L24" s="30" t="str">
        <f t="shared" si="1"/>
        <v>p</v>
      </c>
      <c r="N24" s="4">
        <v>2531</v>
      </c>
    </row>
    <row r="25" spans="1:14" x14ac:dyDescent="0.4">
      <c r="H25" s="28">
        <v>22</v>
      </c>
      <c r="I25" s="29" t="s">
        <v>270</v>
      </c>
      <c r="J25" s="29" t="s">
        <v>271</v>
      </c>
      <c r="K25" s="29" t="str">
        <f t="shared" si="0"/>
        <v>GAV10</v>
      </c>
      <c r="L25" s="30" t="str">
        <f t="shared" si="1"/>
        <v>p</v>
      </c>
      <c r="N25" s="4">
        <v>2768</v>
      </c>
    </row>
    <row r="26" spans="1:14" x14ac:dyDescent="0.4">
      <c r="H26" s="28">
        <v>23</v>
      </c>
      <c r="I26" s="29" t="s">
        <v>272</v>
      </c>
      <c r="J26" s="29" t="s">
        <v>273</v>
      </c>
      <c r="K26" s="29" t="str">
        <f t="shared" si="0"/>
        <v>GAP10</v>
      </c>
      <c r="L26" s="30" t="str">
        <f t="shared" si="1"/>
        <v>p</v>
      </c>
      <c r="N26" s="4">
        <v>2801</v>
      </c>
    </row>
    <row r="27" spans="1:14" x14ac:dyDescent="0.4">
      <c r="H27" s="28">
        <v>24</v>
      </c>
      <c r="I27" s="29" t="s">
        <v>274</v>
      </c>
      <c r="J27" s="29" t="s">
        <v>275</v>
      </c>
      <c r="K27" s="29" t="str">
        <f t="shared" si="0"/>
        <v>GAV9</v>
      </c>
      <c r="L27" s="30" t="str">
        <f t="shared" si="1"/>
        <v>p</v>
      </c>
      <c r="N27" s="4">
        <v>2802</v>
      </c>
    </row>
    <row r="28" spans="1:14" x14ac:dyDescent="0.4">
      <c r="H28" s="28">
        <v>25</v>
      </c>
      <c r="I28" s="29" t="s">
        <v>276</v>
      </c>
      <c r="J28" s="29" t="s">
        <v>277</v>
      </c>
      <c r="K28" s="29" t="str">
        <f t="shared" si="0"/>
        <v>GAP9</v>
      </c>
      <c r="L28" s="30" t="str">
        <f t="shared" si="1"/>
        <v>p</v>
      </c>
      <c r="N28" s="4">
        <v>2871</v>
      </c>
    </row>
    <row r="29" spans="1:14" x14ac:dyDescent="0.4">
      <c r="H29" s="28">
        <v>26</v>
      </c>
      <c r="I29" s="29" t="s">
        <v>278</v>
      </c>
      <c r="J29" s="29" t="s">
        <v>279</v>
      </c>
      <c r="K29" s="29" t="str">
        <f t="shared" si="0"/>
        <v>GAV8</v>
      </c>
      <c r="L29" s="30" t="str">
        <f t="shared" si="1"/>
        <v>p</v>
      </c>
      <c r="N29" s="4">
        <v>2914</v>
      </c>
    </row>
    <row r="30" spans="1:14" x14ac:dyDescent="0.4">
      <c r="H30" s="28">
        <v>27</v>
      </c>
      <c r="I30" s="29" t="s">
        <v>280</v>
      </c>
      <c r="J30" s="29" t="s">
        <v>281</v>
      </c>
      <c r="K30" s="29" t="str">
        <f t="shared" si="0"/>
        <v>GAP8</v>
      </c>
      <c r="L30" s="30" t="str">
        <f t="shared" si="1"/>
        <v>p</v>
      </c>
      <c r="N30" s="4">
        <v>3086</v>
      </c>
    </row>
    <row r="31" spans="1:14" x14ac:dyDescent="0.4">
      <c r="H31" s="28">
        <v>28</v>
      </c>
      <c r="I31" s="29" t="s">
        <v>282</v>
      </c>
      <c r="J31" s="29" t="s">
        <v>283</v>
      </c>
      <c r="K31" s="29" t="str">
        <f t="shared" si="0"/>
        <v>GAV7</v>
      </c>
      <c r="L31" s="30" t="str">
        <f t="shared" si="1"/>
        <v>p</v>
      </c>
      <c r="N31" s="4">
        <v>3099</v>
      </c>
    </row>
    <row r="32" spans="1:14" x14ac:dyDescent="0.4">
      <c r="H32" s="28">
        <v>29</v>
      </c>
      <c r="I32" s="29" t="s">
        <v>284</v>
      </c>
      <c r="J32" s="29" t="s">
        <v>285</v>
      </c>
      <c r="K32" s="29" t="str">
        <f t="shared" si="0"/>
        <v>GAP7</v>
      </c>
      <c r="L32" s="30" t="str">
        <f t="shared" si="1"/>
        <v>p</v>
      </c>
      <c r="N32" s="4">
        <v>3101</v>
      </c>
    </row>
    <row r="33" spans="8:14" x14ac:dyDescent="0.4">
      <c r="H33" s="28">
        <v>30</v>
      </c>
      <c r="I33" s="29" t="s">
        <v>286</v>
      </c>
      <c r="J33" s="29" t="s">
        <v>287</v>
      </c>
      <c r="K33" s="29" t="str">
        <f t="shared" si="0"/>
        <v>GAV6</v>
      </c>
      <c r="L33" s="30" t="str">
        <f t="shared" si="1"/>
        <v>p</v>
      </c>
      <c r="N33" s="4">
        <v>3103</v>
      </c>
    </row>
    <row r="34" spans="8:14" x14ac:dyDescent="0.4">
      <c r="H34" s="28">
        <v>31</v>
      </c>
      <c r="I34" s="29" t="s">
        <v>288</v>
      </c>
      <c r="J34" s="29" t="s">
        <v>289</v>
      </c>
      <c r="K34" s="29" t="str">
        <f t="shared" si="0"/>
        <v>GAP6</v>
      </c>
      <c r="L34" s="30" t="str">
        <f t="shared" si="1"/>
        <v>p</v>
      </c>
      <c r="N34" s="4">
        <v>3289</v>
      </c>
    </row>
    <row r="35" spans="8:14" x14ac:dyDescent="0.4">
      <c r="H35" s="28">
        <v>32</v>
      </c>
      <c r="I35" s="29" t="s">
        <v>290</v>
      </c>
      <c r="J35" s="29" t="s">
        <v>291</v>
      </c>
      <c r="K35" s="29" t="str">
        <f t="shared" si="0"/>
        <v>GAV5</v>
      </c>
      <c r="L35" s="30" t="str">
        <f t="shared" si="1"/>
        <v>p</v>
      </c>
      <c r="N35" s="4">
        <v>3382</v>
      </c>
    </row>
    <row r="36" spans="8:14" x14ac:dyDescent="0.4">
      <c r="H36" s="28">
        <v>33</v>
      </c>
      <c r="I36" s="29" t="s">
        <v>292</v>
      </c>
      <c r="J36" s="29" t="s">
        <v>293</v>
      </c>
      <c r="K36" s="29" t="str">
        <f t="shared" si="0"/>
        <v>GAP5</v>
      </c>
      <c r="L36" s="30" t="str">
        <f t="shared" si="1"/>
        <v>p</v>
      </c>
      <c r="N36" s="4">
        <v>3401</v>
      </c>
    </row>
    <row r="37" spans="8:14" x14ac:dyDescent="0.4">
      <c r="H37" s="28">
        <v>34</v>
      </c>
      <c r="I37" s="29" t="s">
        <v>294</v>
      </c>
      <c r="J37" s="29" t="s">
        <v>295</v>
      </c>
      <c r="K37" s="29" t="str">
        <f t="shared" si="0"/>
        <v>GAV4</v>
      </c>
      <c r="L37" s="30" t="str">
        <f t="shared" si="1"/>
        <v>p</v>
      </c>
      <c r="N37" s="4">
        <v>3402</v>
      </c>
    </row>
    <row r="38" spans="8:14" x14ac:dyDescent="0.4">
      <c r="H38" s="28">
        <v>35</v>
      </c>
      <c r="I38" s="29" t="s">
        <v>296</v>
      </c>
      <c r="J38" s="29" t="s">
        <v>297</v>
      </c>
      <c r="K38" s="29" t="str">
        <f t="shared" si="0"/>
        <v>GAP4</v>
      </c>
      <c r="L38" s="30" t="str">
        <f t="shared" si="1"/>
        <v>p</v>
      </c>
      <c r="N38" s="4">
        <v>3405</v>
      </c>
    </row>
    <row r="39" spans="8:14" x14ac:dyDescent="0.4">
      <c r="H39" s="28">
        <v>36</v>
      </c>
      <c r="I39" s="29" t="s">
        <v>298</v>
      </c>
      <c r="J39" s="29" t="s">
        <v>299</v>
      </c>
      <c r="K39" s="29" t="str">
        <f t="shared" si="0"/>
        <v>GAV3</v>
      </c>
      <c r="L39" s="30" t="str">
        <f t="shared" si="1"/>
        <v>p</v>
      </c>
      <c r="N39" s="4">
        <v>3407</v>
      </c>
    </row>
    <row r="40" spans="8:14" x14ac:dyDescent="0.4">
      <c r="H40" s="28">
        <v>37</v>
      </c>
      <c r="I40" s="29" t="s">
        <v>300</v>
      </c>
      <c r="J40" s="29" t="s">
        <v>301</v>
      </c>
      <c r="K40" s="29" t="str">
        <f t="shared" si="0"/>
        <v>GAP3</v>
      </c>
      <c r="L40" s="30" t="str">
        <f t="shared" si="1"/>
        <v>p</v>
      </c>
      <c r="N40" s="4">
        <v>3436</v>
      </c>
    </row>
    <row r="41" spans="8:14" x14ac:dyDescent="0.4">
      <c r="H41" s="28">
        <v>38</v>
      </c>
      <c r="I41" s="29" t="s">
        <v>302</v>
      </c>
      <c r="J41" s="29" t="s">
        <v>303</v>
      </c>
      <c r="K41" s="29" t="str">
        <f t="shared" si="0"/>
        <v>GAV2</v>
      </c>
      <c r="L41" s="30" t="str">
        <f t="shared" si="1"/>
        <v>p</v>
      </c>
      <c r="N41" s="4">
        <v>3659</v>
      </c>
    </row>
    <row r="42" spans="8:14" x14ac:dyDescent="0.4">
      <c r="H42" s="28">
        <v>39</v>
      </c>
      <c r="I42" s="29" t="s">
        <v>304</v>
      </c>
      <c r="J42" s="29" t="s">
        <v>305</v>
      </c>
      <c r="K42" s="29" t="str">
        <f t="shared" si="0"/>
        <v>GAP2</v>
      </c>
      <c r="L42" s="30" t="str">
        <f t="shared" si="1"/>
        <v>p</v>
      </c>
      <c r="N42" s="4">
        <v>3861</v>
      </c>
    </row>
    <row r="43" spans="8:14" x14ac:dyDescent="0.4">
      <c r="H43" s="28">
        <v>40</v>
      </c>
      <c r="I43" s="29" t="s">
        <v>306</v>
      </c>
      <c r="J43" s="29" t="s">
        <v>307</v>
      </c>
      <c r="K43" s="29" t="str">
        <f t="shared" si="0"/>
        <v>GAV1</v>
      </c>
      <c r="L43" s="30" t="str">
        <f t="shared" si="1"/>
        <v>p</v>
      </c>
      <c r="N43" s="4">
        <v>3863</v>
      </c>
    </row>
    <row r="44" spans="8:14" x14ac:dyDescent="0.4">
      <c r="H44" s="28">
        <v>41</v>
      </c>
      <c r="I44" s="29" t="s">
        <v>308</v>
      </c>
      <c r="J44" s="29" t="s">
        <v>309</v>
      </c>
      <c r="K44" s="29" t="str">
        <f t="shared" si="0"/>
        <v>GAP1</v>
      </c>
      <c r="L44" s="30" t="str">
        <f t="shared" si="1"/>
        <v>p</v>
      </c>
      <c r="N44" s="4">
        <v>4004</v>
      </c>
    </row>
    <row r="45" spans="8:14" x14ac:dyDescent="0.4">
      <c r="H45" s="28">
        <v>42</v>
      </c>
      <c r="I45" s="29" t="s">
        <v>310</v>
      </c>
      <c r="J45" s="29" t="s">
        <v>311</v>
      </c>
      <c r="K45" s="29" t="str">
        <f t="shared" si="0"/>
        <v>GBV1</v>
      </c>
      <c r="L45" s="30" t="str">
        <f t="shared" si="1"/>
        <v>p</v>
      </c>
      <c r="N45" s="4">
        <v>4005</v>
      </c>
    </row>
    <row r="46" spans="8:14" x14ac:dyDescent="0.4">
      <c r="H46" s="28">
        <v>43</v>
      </c>
      <c r="I46" s="29" t="s">
        <v>312</v>
      </c>
      <c r="J46" s="29" t="s">
        <v>313</v>
      </c>
      <c r="K46" s="29" t="str">
        <f t="shared" si="0"/>
        <v>GBP1</v>
      </c>
      <c r="L46" s="30" t="str">
        <f t="shared" si="1"/>
        <v>p</v>
      </c>
      <c r="N46" s="4">
        <v>4021</v>
      </c>
    </row>
    <row r="47" spans="8:14" x14ac:dyDescent="0.4">
      <c r="H47" s="28">
        <v>44</v>
      </c>
      <c r="I47" s="29" t="s">
        <v>314</v>
      </c>
      <c r="J47" s="29" t="s">
        <v>315</v>
      </c>
      <c r="K47" s="29" t="str">
        <f t="shared" si="0"/>
        <v>GBV2</v>
      </c>
      <c r="L47" s="30" t="str">
        <f t="shared" si="1"/>
        <v>p</v>
      </c>
      <c r="N47" s="4">
        <v>4042</v>
      </c>
    </row>
    <row r="48" spans="8:14" x14ac:dyDescent="0.4">
      <c r="H48" s="28">
        <v>45</v>
      </c>
      <c r="I48" s="29" t="s">
        <v>316</v>
      </c>
      <c r="J48" s="29" t="s">
        <v>317</v>
      </c>
      <c r="K48" s="29" t="str">
        <f t="shared" si="0"/>
        <v>GBP2</v>
      </c>
      <c r="L48" s="30" t="str">
        <f t="shared" si="1"/>
        <v>p</v>
      </c>
      <c r="N48" s="4">
        <v>4043</v>
      </c>
    </row>
    <row r="49" spans="8:14" x14ac:dyDescent="0.4">
      <c r="H49" s="28">
        <v>46</v>
      </c>
      <c r="I49" s="29" t="s">
        <v>318</v>
      </c>
      <c r="J49" s="29" t="s">
        <v>319</v>
      </c>
      <c r="K49" s="29" t="str">
        <f t="shared" si="0"/>
        <v>GBV3</v>
      </c>
      <c r="L49" s="30" t="str">
        <f t="shared" si="1"/>
        <v>p</v>
      </c>
      <c r="N49" s="4">
        <v>4061</v>
      </c>
    </row>
    <row r="50" spans="8:14" x14ac:dyDescent="0.4">
      <c r="H50" s="28">
        <v>47</v>
      </c>
      <c r="I50" s="29" t="s">
        <v>320</v>
      </c>
      <c r="J50" s="29" t="s">
        <v>321</v>
      </c>
      <c r="K50" s="29" t="str">
        <f t="shared" si="0"/>
        <v>GBP3</v>
      </c>
      <c r="L50" s="30" t="str">
        <f t="shared" si="1"/>
        <v>p</v>
      </c>
      <c r="N50" s="4">
        <v>4063</v>
      </c>
    </row>
    <row r="51" spans="8:14" x14ac:dyDescent="0.4">
      <c r="H51" s="28">
        <v>48</v>
      </c>
      <c r="I51" s="29" t="s">
        <v>322</v>
      </c>
      <c r="J51" s="29" t="s">
        <v>323</v>
      </c>
      <c r="K51" s="29" t="str">
        <f t="shared" si="0"/>
        <v>GBV4</v>
      </c>
      <c r="L51" s="30" t="str">
        <f t="shared" si="1"/>
        <v>p</v>
      </c>
      <c r="N51" s="4">
        <v>4151</v>
      </c>
    </row>
    <row r="52" spans="8:14" x14ac:dyDescent="0.4">
      <c r="H52" s="28">
        <v>49</v>
      </c>
      <c r="I52" s="29" t="s">
        <v>324</v>
      </c>
      <c r="J52" s="29" t="s">
        <v>325</v>
      </c>
      <c r="K52" s="29" t="str">
        <f t="shared" si="0"/>
        <v>GBP4</v>
      </c>
      <c r="L52" s="30" t="str">
        <f t="shared" si="1"/>
        <v>p</v>
      </c>
      <c r="N52" s="4">
        <v>4183</v>
      </c>
    </row>
    <row r="53" spans="8:14" x14ac:dyDescent="0.4">
      <c r="H53" s="28">
        <v>50</v>
      </c>
      <c r="I53" s="29" t="s">
        <v>326</v>
      </c>
      <c r="J53" s="29" t="s">
        <v>327</v>
      </c>
      <c r="K53" s="29" t="str">
        <f t="shared" si="0"/>
        <v>GBV5</v>
      </c>
      <c r="L53" s="30" t="str">
        <f t="shared" si="1"/>
        <v>p</v>
      </c>
      <c r="N53" s="4">
        <v>4188</v>
      </c>
    </row>
    <row r="54" spans="8:14" x14ac:dyDescent="0.4">
      <c r="H54" s="28">
        <v>51</v>
      </c>
      <c r="I54" s="29" t="s">
        <v>328</v>
      </c>
      <c r="J54" s="29" t="s">
        <v>329</v>
      </c>
      <c r="K54" s="29" t="str">
        <f t="shared" si="0"/>
        <v>GBP5</v>
      </c>
      <c r="L54" s="30" t="str">
        <f t="shared" si="1"/>
        <v>p</v>
      </c>
      <c r="N54" s="4">
        <v>4208</v>
      </c>
    </row>
    <row r="55" spans="8:14" x14ac:dyDescent="0.4">
      <c r="H55" s="28">
        <v>52</v>
      </c>
      <c r="I55" s="29" t="s">
        <v>330</v>
      </c>
      <c r="J55" s="29" t="s">
        <v>331</v>
      </c>
      <c r="K55" s="29" t="str">
        <f t="shared" si="0"/>
        <v>GBV6</v>
      </c>
      <c r="L55" s="30" t="str">
        <f t="shared" si="1"/>
        <v>p</v>
      </c>
      <c r="N55" s="4">
        <v>4324</v>
      </c>
    </row>
    <row r="56" spans="8:14" x14ac:dyDescent="0.4">
      <c r="H56" s="28">
        <v>53</v>
      </c>
      <c r="I56" s="29" t="s">
        <v>332</v>
      </c>
      <c r="J56" s="29" t="s">
        <v>333</v>
      </c>
      <c r="K56" s="29" t="str">
        <f t="shared" si="0"/>
        <v>GBP6</v>
      </c>
      <c r="L56" s="30" t="str">
        <f t="shared" si="1"/>
        <v>p</v>
      </c>
      <c r="N56" s="4">
        <v>4452</v>
      </c>
    </row>
    <row r="57" spans="8:14" x14ac:dyDescent="0.4">
      <c r="H57" s="28">
        <v>54</v>
      </c>
      <c r="I57" s="29" t="s">
        <v>334</v>
      </c>
      <c r="J57" s="29" t="s">
        <v>335</v>
      </c>
      <c r="K57" s="29" t="str">
        <f t="shared" si="0"/>
        <v>GBV7</v>
      </c>
      <c r="L57" s="30" t="str">
        <f t="shared" si="1"/>
        <v>p</v>
      </c>
      <c r="N57" s="4">
        <v>4502</v>
      </c>
    </row>
    <row r="58" spans="8:14" x14ac:dyDescent="0.4">
      <c r="H58" s="28">
        <v>55</v>
      </c>
      <c r="I58" s="29" t="s">
        <v>336</v>
      </c>
      <c r="J58" s="29" t="s">
        <v>337</v>
      </c>
      <c r="K58" s="29" t="str">
        <f t="shared" si="0"/>
        <v>GBP7</v>
      </c>
      <c r="L58" s="30" t="str">
        <f t="shared" si="1"/>
        <v>p</v>
      </c>
      <c r="N58" s="4">
        <v>4503</v>
      </c>
    </row>
    <row r="59" spans="8:14" x14ac:dyDescent="0.4">
      <c r="H59" s="28">
        <v>56</v>
      </c>
      <c r="I59" s="29" t="s">
        <v>338</v>
      </c>
      <c r="J59" s="29" t="s">
        <v>339</v>
      </c>
      <c r="K59" s="29" t="str">
        <f t="shared" si="0"/>
        <v>GBV8</v>
      </c>
      <c r="L59" s="30" t="str">
        <f t="shared" si="1"/>
        <v>p</v>
      </c>
      <c r="N59" s="4">
        <v>4506</v>
      </c>
    </row>
    <row r="60" spans="8:14" x14ac:dyDescent="0.4">
      <c r="H60" s="28">
        <v>57</v>
      </c>
      <c r="I60" s="29" t="s">
        <v>340</v>
      </c>
      <c r="J60" s="29" t="s">
        <v>341</v>
      </c>
      <c r="K60" s="29" t="str">
        <f t="shared" si="0"/>
        <v>GBP8</v>
      </c>
      <c r="L60" s="30" t="str">
        <f t="shared" si="1"/>
        <v>p</v>
      </c>
      <c r="N60" s="4">
        <v>4507</v>
      </c>
    </row>
    <row r="61" spans="8:14" x14ac:dyDescent="0.4">
      <c r="H61" s="28">
        <v>58</v>
      </c>
      <c r="I61" s="29" t="s">
        <v>342</v>
      </c>
      <c r="J61" s="29" t="s">
        <v>343</v>
      </c>
      <c r="K61" s="29" t="str">
        <f t="shared" si="0"/>
        <v>GBV9</v>
      </c>
      <c r="L61" s="30" t="str">
        <f t="shared" si="1"/>
        <v>p</v>
      </c>
      <c r="N61" s="4">
        <v>4519</v>
      </c>
    </row>
    <row r="62" spans="8:14" x14ac:dyDescent="0.4">
      <c r="H62" s="28">
        <v>59</v>
      </c>
      <c r="I62" s="29" t="s">
        <v>344</v>
      </c>
      <c r="J62" s="29" t="s">
        <v>345</v>
      </c>
      <c r="K62" s="29" t="str">
        <f t="shared" si="0"/>
        <v>GBP9</v>
      </c>
      <c r="L62" s="30" t="str">
        <f t="shared" si="1"/>
        <v>p</v>
      </c>
      <c r="N62" s="4">
        <v>4523</v>
      </c>
    </row>
    <row r="63" spans="8:14" x14ac:dyDescent="0.4">
      <c r="H63" s="28">
        <v>60</v>
      </c>
      <c r="I63" s="29" t="s">
        <v>346</v>
      </c>
      <c r="J63" s="29" t="s">
        <v>347</v>
      </c>
      <c r="K63" s="29" t="str">
        <f t="shared" si="0"/>
        <v>GBV10</v>
      </c>
      <c r="L63" s="30" t="str">
        <f t="shared" si="1"/>
        <v>p</v>
      </c>
      <c r="N63" s="4">
        <v>4543</v>
      </c>
    </row>
    <row r="64" spans="8:14" x14ac:dyDescent="0.4">
      <c r="H64" s="28">
        <v>61</v>
      </c>
      <c r="I64" s="29" t="s">
        <v>348</v>
      </c>
      <c r="J64" s="29" t="s">
        <v>349</v>
      </c>
      <c r="K64" s="29" t="str">
        <f t="shared" si="0"/>
        <v>GBP10</v>
      </c>
      <c r="L64" s="30" t="str">
        <f t="shared" si="1"/>
        <v>p</v>
      </c>
      <c r="N64" s="4">
        <v>4568</v>
      </c>
    </row>
    <row r="65" spans="8:14" x14ac:dyDescent="0.4">
      <c r="H65" s="28">
        <v>62</v>
      </c>
      <c r="I65" s="29" t="s">
        <v>226</v>
      </c>
      <c r="J65" s="29" t="s">
        <v>227</v>
      </c>
      <c r="K65" s="29" t="str">
        <f t="shared" si="0"/>
        <v>LISS</v>
      </c>
      <c r="L65" s="30" t="str">
        <f t="shared" si="1"/>
        <v>x</v>
      </c>
      <c r="N65" s="4">
        <v>4578</v>
      </c>
    </row>
    <row r="66" spans="8:14" x14ac:dyDescent="0.4">
      <c r="H66" s="28">
        <v>63</v>
      </c>
      <c r="I66" s="29" t="s">
        <v>354</v>
      </c>
      <c r="J66" s="29" t="s">
        <v>355</v>
      </c>
      <c r="K66" s="29" t="str">
        <f t="shared" si="0"/>
        <v>PRP</v>
      </c>
      <c r="L66" s="30" t="str">
        <f t="shared" si="1"/>
        <v>p</v>
      </c>
      <c r="N66" s="4">
        <v>4631</v>
      </c>
    </row>
    <row r="67" spans="8:14" x14ac:dyDescent="0.4">
      <c r="H67" s="28">
        <v>64</v>
      </c>
      <c r="I67" s="29" t="s">
        <v>221</v>
      </c>
      <c r="J67" s="29" t="s">
        <v>249</v>
      </c>
      <c r="K67" s="29" t="str">
        <f t="shared" si="0"/>
        <v>QAP</v>
      </c>
      <c r="L67" s="30" t="str">
        <f t="shared" si="1"/>
        <v>p</v>
      </c>
      <c r="N67" s="4">
        <v>4689</v>
      </c>
    </row>
    <row r="68" spans="8:14" x14ac:dyDescent="0.4">
      <c r="H68" s="28">
        <v>65</v>
      </c>
      <c r="I68" s="29" t="s">
        <v>220</v>
      </c>
      <c r="J68" s="29" t="s">
        <v>248</v>
      </c>
      <c r="K68" s="29" t="str">
        <f t="shared" si="0"/>
        <v>QAS</v>
      </c>
      <c r="L68" s="30" t="str">
        <f t="shared" si="1"/>
        <v>p</v>
      </c>
      <c r="N68" s="4">
        <v>4704</v>
      </c>
    </row>
    <row r="69" spans="8:14" x14ac:dyDescent="0.4">
      <c r="H69" s="28">
        <v>66</v>
      </c>
      <c r="I69" s="29" t="s">
        <v>224</v>
      </c>
      <c r="J69" s="29" t="s">
        <v>252</v>
      </c>
      <c r="K69" s="29" t="str">
        <f t="shared" ref="K69:K73" si="2">MID(I69,2,LEN(I69)-1)</f>
        <v>QBP</v>
      </c>
      <c r="L69" s="30" t="str">
        <f t="shared" ref="L69:L73" si="3">LEFT(I69,1)</f>
        <v>p</v>
      </c>
      <c r="N69" s="4">
        <v>4751</v>
      </c>
    </row>
    <row r="70" spans="8:14" x14ac:dyDescent="0.4">
      <c r="H70" s="28">
        <v>67</v>
      </c>
      <c r="I70" s="29" t="s">
        <v>223</v>
      </c>
      <c r="J70" s="29" t="s">
        <v>251</v>
      </c>
      <c r="K70" s="29" t="str">
        <f t="shared" si="2"/>
        <v>QBS</v>
      </c>
      <c r="L70" s="30" t="str">
        <f t="shared" si="3"/>
        <v>p</v>
      </c>
      <c r="N70" s="4">
        <v>4755</v>
      </c>
    </row>
    <row r="71" spans="8:14" x14ac:dyDescent="0.4">
      <c r="H71" s="28">
        <v>68</v>
      </c>
      <c r="I71" s="29" t="s">
        <v>268</v>
      </c>
      <c r="J71" s="29" t="s">
        <v>269</v>
      </c>
      <c r="K71" s="29" t="str">
        <f t="shared" si="2"/>
        <v>QOV</v>
      </c>
      <c r="L71" s="30" t="str">
        <f t="shared" si="3"/>
        <v>p</v>
      </c>
      <c r="N71" s="4">
        <v>4901</v>
      </c>
    </row>
    <row r="72" spans="8:14" x14ac:dyDescent="0.4">
      <c r="H72" s="28">
        <v>69</v>
      </c>
      <c r="I72" s="29" t="s">
        <v>350</v>
      </c>
      <c r="J72" s="29" t="s">
        <v>351</v>
      </c>
      <c r="K72" s="29" t="str">
        <f t="shared" si="2"/>
        <v>QUV</v>
      </c>
      <c r="L72" s="30" t="str">
        <f t="shared" si="3"/>
        <v>p</v>
      </c>
      <c r="N72" s="4">
        <v>4902</v>
      </c>
    </row>
    <row r="73" spans="8:14" ht="19.5" thickBot="1" x14ac:dyDescent="0.45">
      <c r="H73" s="31">
        <v>70</v>
      </c>
      <c r="I73" s="32" t="s">
        <v>352</v>
      </c>
      <c r="J73" s="32" t="s">
        <v>353</v>
      </c>
      <c r="K73" s="32" t="str">
        <f t="shared" si="2"/>
        <v>VWAP</v>
      </c>
      <c r="L73" s="33" t="str">
        <f t="shared" si="3"/>
        <v>p</v>
      </c>
      <c r="N73" s="4">
        <v>4911</v>
      </c>
    </row>
    <row r="74" spans="8:14" ht="19.5" thickTop="1" x14ac:dyDescent="0.4">
      <c r="N74" s="4">
        <v>5019</v>
      </c>
    </row>
    <row r="75" spans="8:14" x14ac:dyDescent="0.4">
      <c r="N75" s="4">
        <v>5020</v>
      </c>
    </row>
    <row r="76" spans="8:14" x14ac:dyDescent="0.4">
      <c r="N76" s="4">
        <v>5101</v>
      </c>
    </row>
    <row r="77" spans="8:14" x14ac:dyDescent="0.4">
      <c r="N77" s="4">
        <v>5108</v>
      </c>
    </row>
    <row r="78" spans="8:14" x14ac:dyDescent="0.4">
      <c r="N78" s="4">
        <v>5201</v>
      </c>
    </row>
    <row r="79" spans="8:14" x14ac:dyDescent="0.4">
      <c r="N79" s="4">
        <v>5202</v>
      </c>
    </row>
    <row r="80" spans="8:14" x14ac:dyDescent="0.4">
      <c r="N80" s="4">
        <v>5214</v>
      </c>
    </row>
    <row r="81" spans="14:14" x14ac:dyDescent="0.4">
      <c r="N81" s="4">
        <v>5232</v>
      </c>
    </row>
    <row r="82" spans="14:14" x14ac:dyDescent="0.4">
      <c r="N82" s="4">
        <v>5233</v>
      </c>
    </row>
    <row r="83" spans="14:14" x14ac:dyDescent="0.4">
      <c r="N83" s="4">
        <v>5301</v>
      </c>
    </row>
    <row r="84" spans="14:14" x14ac:dyDescent="0.4">
      <c r="N84" s="4">
        <v>5332</v>
      </c>
    </row>
    <row r="85" spans="14:14" x14ac:dyDescent="0.4">
      <c r="N85" s="4">
        <v>5333</v>
      </c>
    </row>
    <row r="86" spans="14:14" x14ac:dyDescent="0.4">
      <c r="N86" s="4">
        <v>5401</v>
      </c>
    </row>
    <row r="87" spans="14:14" x14ac:dyDescent="0.4">
      <c r="N87" s="4">
        <v>5406</v>
      </c>
    </row>
    <row r="88" spans="14:14" x14ac:dyDescent="0.4">
      <c r="N88" s="4">
        <v>5411</v>
      </c>
    </row>
    <row r="89" spans="14:14" x14ac:dyDescent="0.4">
      <c r="N89" s="4">
        <v>5541</v>
      </c>
    </row>
    <row r="90" spans="14:14" x14ac:dyDescent="0.4">
      <c r="N90" s="4">
        <v>5631</v>
      </c>
    </row>
    <row r="91" spans="14:14" x14ac:dyDescent="0.4">
      <c r="N91" s="4">
        <v>5703</v>
      </c>
    </row>
    <row r="92" spans="14:14" x14ac:dyDescent="0.4">
      <c r="N92" s="4">
        <v>5706</v>
      </c>
    </row>
    <row r="93" spans="14:14" x14ac:dyDescent="0.4">
      <c r="N93" s="4">
        <v>5707</v>
      </c>
    </row>
    <row r="94" spans="14:14" x14ac:dyDescent="0.4">
      <c r="N94" s="4">
        <v>5711</v>
      </c>
    </row>
    <row r="95" spans="14:14" x14ac:dyDescent="0.4">
      <c r="N95" s="4">
        <v>5713</v>
      </c>
    </row>
    <row r="96" spans="14:14" x14ac:dyDescent="0.4">
      <c r="N96" s="4">
        <v>5714</v>
      </c>
    </row>
    <row r="97" spans="14:14" x14ac:dyDescent="0.4">
      <c r="N97" s="4">
        <v>5801</v>
      </c>
    </row>
    <row r="98" spans="14:14" x14ac:dyDescent="0.4">
      <c r="N98" s="4">
        <v>5802</v>
      </c>
    </row>
    <row r="99" spans="14:14" x14ac:dyDescent="0.4">
      <c r="N99" s="4">
        <v>5803</v>
      </c>
    </row>
    <row r="100" spans="14:14" x14ac:dyDescent="0.4">
      <c r="N100" s="4">
        <v>6098</v>
      </c>
    </row>
    <row r="101" spans="14:14" x14ac:dyDescent="0.4">
      <c r="N101" s="4">
        <v>6103</v>
      </c>
    </row>
    <row r="102" spans="14:14" x14ac:dyDescent="0.4">
      <c r="N102" s="4">
        <v>6113</v>
      </c>
    </row>
    <row r="103" spans="14:14" x14ac:dyDescent="0.4">
      <c r="N103" s="4">
        <v>6178</v>
      </c>
    </row>
    <row r="104" spans="14:14" x14ac:dyDescent="0.4">
      <c r="N104" s="4">
        <v>6301</v>
      </c>
    </row>
    <row r="105" spans="14:14" x14ac:dyDescent="0.4">
      <c r="N105" s="4">
        <v>6302</v>
      </c>
    </row>
    <row r="106" spans="14:14" x14ac:dyDescent="0.4">
      <c r="N106" s="4">
        <v>6305</v>
      </c>
    </row>
    <row r="107" spans="14:14" x14ac:dyDescent="0.4">
      <c r="N107" s="4">
        <v>6326</v>
      </c>
    </row>
    <row r="108" spans="14:14" x14ac:dyDescent="0.4">
      <c r="N108" s="4">
        <v>6361</v>
      </c>
    </row>
    <row r="109" spans="14:14" x14ac:dyDescent="0.4">
      <c r="N109" s="4">
        <v>6367</v>
      </c>
    </row>
    <row r="110" spans="14:14" x14ac:dyDescent="0.4">
      <c r="N110" s="4">
        <v>6471</v>
      </c>
    </row>
    <row r="111" spans="14:14" x14ac:dyDescent="0.4">
      <c r="N111" s="4">
        <v>6472</v>
      </c>
    </row>
    <row r="112" spans="14:14" x14ac:dyDescent="0.4">
      <c r="N112" s="4">
        <v>6473</v>
      </c>
    </row>
    <row r="113" spans="14:14" x14ac:dyDescent="0.4">
      <c r="N113" s="4">
        <v>6479</v>
      </c>
    </row>
    <row r="114" spans="14:14" x14ac:dyDescent="0.4">
      <c r="N114" s="4">
        <v>6501</v>
      </c>
    </row>
    <row r="115" spans="14:14" x14ac:dyDescent="0.4">
      <c r="N115" s="4">
        <v>6503</v>
      </c>
    </row>
    <row r="116" spans="14:14" x14ac:dyDescent="0.4">
      <c r="N116" s="4">
        <v>6504</v>
      </c>
    </row>
    <row r="117" spans="14:14" x14ac:dyDescent="0.4">
      <c r="N117" s="4">
        <v>6506</v>
      </c>
    </row>
    <row r="118" spans="14:14" x14ac:dyDescent="0.4">
      <c r="N118" s="4">
        <v>6645</v>
      </c>
    </row>
    <row r="119" spans="14:14" x14ac:dyDescent="0.4">
      <c r="N119" s="4">
        <v>6674</v>
      </c>
    </row>
    <row r="120" spans="14:14" x14ac:dyDescent="0.4">
      <c r="N120" s="4">
        <v>6701</v>
      </c>
    </row>
    <row r="121" spans="14:14" x14ac:dyDescent="0.4">
      <c r="N121" s="4">
        <v>6702</v>
      </c>
    </row>
    <row r="122" spans="14:14" x14ac:dyDescent="0.4">
      <c r="N122" s="4">
        <v>6703</v>
      </c>
    </row>
    <row r="123" spans="14:14" x14ac:dyDescent="0.4">
      <c r="N123" s="4">
        <v>6724</v>
      </c>
    </row>
    <row r="124" spans="14:14" x14ac:dyDescent="0.4">
      <c r="N124" s="4">
        <v>6752</v>
      </c>
    </row>
    <row r="125" spans="14:14" x14ac:dyDescent="0.4">
      <c r="N125" s="4">
        <v>6753</v>
      </c>
    </row>
    <row r="126" spans="14:14" x14ac:dyDescent="0.4">
      <c r="N126" s="4">
        <v>6758</v>
      </c>
    </row>
    <row r="127" spans="14:14" x14ac:dyDescent="0.4">
      <c r="N127" s="4">
        <v>6762</v>
      </c>
    </row>
    <row r="128" spans="14:14" x14ac:dyDescent="0.4">
      <c r="N128" s="4">
        <v>6770</v>
      </c>
    </row>
    <row r="129" spans="14:14" x14ac:dyDescent="0.4">
      <c r="N129" s="4">
        <v>6841</v>
      </c>
    </row>
    <row r="130" spans="14:14" x14ac:dyDescent="0.4">
      <c r="N130" s="4">
        <v>6857</v>
      </c>
    </row>
    <row r="131" spans="14:14" x14ac:dyDescent="0.4">
      <c r="N131" s="4">
        <v>6861</v>
      </c>
    </row>
    <row r="132" spans="14:14" x14ac:dyDescent="0.4">
      <c r="N132" s="4">
        <v>6902</v>
      </c>
    </row>
    <row r="133" spans="14:14" x14ac:dyDescent="0.4">
      <c r="N133" s="4">
        <v>6952</v>
      </c>
    </row>
    <row r="134" spans="14:14" x14ac:dyDescent="0.4">
      <c r="N134" s="4">
        <v>6954</v>
      </c>
    </row>
    <row r="135" spans="14:14" x14ac:dyDescent="0.4">
      <c r="N135" s="4">
        <v>6971</v>
      </c>
    </row>
    <row r="136" spans="14:14" x14ac:dyDescent="0.4">
      <c r="N136" s="4">
        <v>6976</v>
      </c>
    </row>
    <row r="137" spans="14:14" x14ac:dyDescent="0.4">
      <c r="N137" s="4">
        <v>6981</v>
      </c>
    </row>
    <row r="138" spans="14:14" x14ac:dyDescent="0.4">
      <c r="N138" s="4">
        <v>6988</v>
      </c>
    </row>
    <row r="139" spans="14:14" x14ac:dyDescent="0.4">
      <c r="N139" s="4">
        <v>7003</v>
      </c>
    </row>
    <row r="140" spans="14:14" x14ac:dyDescent="0.4">
      <c r="N140" s="4">
        <v>7004</v>
      </c>
    </row>
    <row r="141" spans="14:14" x14ac:dyDescent="0.4">
      <c r="N141" s="4">
        <v>7011</v>
      </c>
    </row>
    <row r="142" spans="14:14" x14ac:dyDescent="0.4">
      <c r="N142" s="4">
        <v>7012</v>
      </c>
    </row>
    <row r="143" spans="14:14" x14ac:dyDescent="0.4">
      <c r="N143" s="4">
        <v>7013</v>
      </c>
    </row>
    <row r="144" spans="14:14" x14ac:dyDescent="0.4">
      <c r="N144" s="4">
        <v>7186</v>
      </c>
    </row>
    <row r="145" spans="14:14" x14ac:dyDescent="0.4">
      <c r="N145" s="4">
        <v>7201</v>
      </c>
    </row>
    <row r="146" spans="14:14" x14ac:dyDescent="0.4">
      <c r="N146" s="4">
        <v>7202</v>
      </c>
    </row>
    <row r="147" spans="14:14" x14ac:dyDescent="0.4">
      <c r="N147" s="4">
        <v>7203</v>
      </c>
    </row>
    <row r="148" spans="14:14" x14ac:dyDescent="0.4">
      <c r="N148" s="4">
        <v>7205</v>
      </c>
    </row>
    <row r="149" spans="14:14" x14ac:dyDescent="0.4">
      <c r="N149" s="4">
        <v>7211</v>
      </c>
    </row>
    <row r="150" spans="14:14" x14ac:dyDescent="0.4">
      <c r="N150" s="4">
        <v>7261</v>
      </c>
    </row>
    <row r="151" spans="14:14" x14ac:dyDescent="0.4">
      <c r="N151" s="4">
        <v>7267</v>
      </c>
    </row>
    <row r="152" spans="14:14" x14ac:dyDescent="0.4">
      <c r="N152" s="4">
        <v>7269</v>
      </c>
    </row>
    <row r="153" spans="14:14" x14ac:dyDescent="0.4">
      <c r="N153" s="4">
        <v>7270</v>
      </c>
    </row>
    <row r="154" spans="14:14" x14ac:dyDescent="0.4">
      <c r="N154" s="4">
        <v>7272</v>
      </c>
    </row>
    <row r="155" spans="14:14" x14ac:dyDescent="0.4">
      <c r="N155" s="4">
        <v>7731</v>
      </c>
    </row>
    <row r="156" spans="14:14" x14ac:dyDescent="0.4">
      <c r="N156" s="4">
        <v>7733</v>
      </c>
    </row>
    <row r="157" spans="14:14" x14ac:dyDescent="0.4">
      <c r="N157" s="4">
        <v>7735</v>
      </c>
    </row>
    <row r="158" spans="14:14" x14ac:dyDescent="0.4">
      <c r="N158" s="4">
        <v>7751</v>
      </c>
    </row>
    <row r="159" spans="14:14" x14ac:dyDescent="0.4">
      <c r="N159" s="4">
        <v>7752</v>
      </c>
    </row>
    <row r="160" spans="14:14" x14ac:dyDescent="0.4">
      <c r="N160" s="4">
        <v>7762</v>
      </c>
    </row>
    <row r="161" spans="14:14" x14ac:dyDescent="0.4">
      <c r="N161" s="4">
        <v>7832</v>
      </c>
    </row>
    <row r="162" spans="14:14" x14ac:dyDescent="0.4">
      <c r="N162" s="4">
        <v>7911</v>
      </c>
    </row>
    <row r="163" spans="14:14" x14ac:dyDescent="0.4">
      <c r="N163" s="4">
        <v>7912</v>
      </c>
    </row>
    <row r="164" spans="14:14" x14ac:dyDescent="0.4">
      <c r="N164" s="4">
        <v>7951</v>
      </c>
    </row>
    <row r="165" spans="14:14" x14ac:dyDescent="0.4">
      <c r="N165" s="4">
        <v>7974</v>
      </c>
    </row>
    <row r="166" spans="14:14" x14ac:dyDescent="0.4">
      <c r="N166" s="4">
        <v>8001</v>
      </c>
    </row>
    <row r="167" spans="14:14" x14ac:dyDescent="0.4">
      <c r="N167" s="4">
        <v>8002</v>
      </c>
    </row>
    <row r="168" spans="14:14" x14ac:dyDescent="0.4">
      <c r="N168" s="4">
        <v>8015</v>
      </c>
    </row>
    <row r="169" spans="14:14" x14ac:dyDescent="0.4">
      <c r="N169" s="4">
        <v>8031</v>
      </c>
    </row>
    <row r="170" spans="14:14" x14ac:dyDescent="0.4">
      <c r="N170" s="4">
        <v>8035</v>
      </c>
    </row>
    <row r="171" spans="14:14" x14ac:dyDescent="0.4">
      <c r="N171" s="4">
        <v>8053</v>
      </c>
    </row>
    <row r="172" spans="14:14" x14ac:dyDescent="0.4">
      <c r="N172" s="4">
        <v>8058</v>
      </c>
    </row>
    <row r="173" spans="14:14" x14ac:dyDescent="0.4">
      <c r="N173" s="4">
        <v>8233</v>
      </c>
    </row>
    <row r="174" spans="14:14" x14ac:dyDescent="0.4">
      <c r="N174" s="4">
        <v>8252</v>
      </c>
    </row>
    <row r="175" spans="14:14" x14ac:dyDescent="0.4">
      <c r="N175" s="4">
        <v>8253</v>
      </c>
    </row>
    <row r="176" spans="14:14" x14ac:dyDescent="0.4">
      <c r="N176" s="4">
        <v>8267</v>
      </c>
    </row>
    <row r="177" spans="14:14" x14ac:dyDescent="0.4">
      <c r="N177" s="4">
        <v>8304</v>
      </c>
    </row>
    <row r="178" spans="14:14" x14ac:dyDescent="0.4">
      <c r="N178" s="4">
        <v>8306</v>
      </c>
    </row>
    <row r="179" spans="14:14" x14ac:dyDescent="0.4">
      <c r="N179" s="4">
        <v>8308</v>
      </c>
    </row>
    <row r="180" spans="14:14" x14ac:dyDescent="0.4">
      <c r="N180" s="4">
        <v>8309</v>
      </c>
    </row>
    <row r="181" spans="14:14" x14ac:dyDescent="0.4">
      <c r="N181" s="4">
        <v>8316</v>
      </c>
    </row>
    <row r="182" spans="14:14" x14ac:dyDescent="0.4">
      <c r="N182" s="4">
        <v>8331</v>
      </c>
    </row>
    <row r="183" spans="14:14" x14ac:dyDescent="0.4">
      <c r="N183" s="4">
        <v>8354</v>
      </c>
    </row>
    <row r="184" spans="14:14" x14ac:dyDescent="0.4">
      <c r="N184" s="4">
        <v>5831</v>
      </c>
    </row>
    <row r="185" spans="14:14" x14ac:dyDescent="0.4">
      <c r="N185" s="4">
        <v>8411</v>
      </c>
    </row>
    <row r="186" spans="14:14" x14ac:dyDescent="0.4">
      <c r="N186" s="4">
        <v>8591</v>
      </c>
    </row>
    <row r="187" spans="14:14" x14ac:dyDescent="0.4">
      <c r="N187" s="4">
        <v>8601</v>
      </c>
    </row>
    <row r="188" spans="14:14" x14ac:dyDescent="0.4">
      <c r="N188" s="4">
        <v>8604</v>
      </c>
    </row>
    <row r="189" spans="14:14" x14ac:dyDescent="0.4">
      <c r="N189" s="4">
        <v>8628</v>
      </c>
    </row>
    <row r="190" spans="14:14" x14ac:dyDescent="0.4">
      <c r="N190" s="4">
        <v>8630</v>
      </c>
    </row>
    <row r="191" spans="14:14" x14ac:dyDescent="0.4">
      <c r="N191" s="4">
        <v>8697</v>
      </c>
    </row>
    <row r="192" spans="14:14" x14ac:dyDescent="0.4">
      <c r="N192" s="4">
        <v>8725</v>
      </c>
    </row>
    <row r="193" spans="14:14" x14ac:dyDescent="0.4">
      <c r="N193" s="4">
        <v>8750</v>
      </c>
    </row>
    <row r="194" spans="14:14" x14ac:dyDescent="0.4">
      <c r="N194" s="4">
        <v>8766</v>
      </c>
    </row>
    <row r="195" spans="14:14" x14ac:dyDescent="0.4">
      <c r="N195" s="4">
        <v>8795</v>
      </c>
    </row>
    <row r="196" spans="14:14" x14ac:dyDescent="0.4">
      <c r="N196" s="4">
        <v>8801</v>
      </c>
    </row>
    <row r="197" spans="14:14" x14ac:dyDescent="0.4">
      <c r="N197" s="4">
        <v>8802</v>
      </c>
    </row>
    <row r="198" spans="14:14" x14ac:dyDescent="0.4">
      <c r="N198" s="4">
        <v>8804</v>
      </c>
    </row>
    <row r="199" spans="14:14" x14ac:dyDescent="0.4">
      <c r="N199" s="4">
        <v>8830</v>
      </c>
    </row>
    <row r="200" spans="14:14" x14ac:dyDescent="0.4">
      <c r="N200" s="4">
        <v>9001</v>
      </c>
    </row>
    <row r="201" spans="14:14" x14ac:dyDescent="0.4">
      <c r="N201" s="4">
        <v>9005</v>
      </c>
    </row>
    <row r="202" spans="14:14" x14ac:dyDescent="0.4">
      <c r="N202" s="4">
        <v>9007</v>
      </c>
    </row>
    <row r="203" spans="14:14" x14ac:dyDescent="0.4">
      <c r="N203" s="4">
        <v>9008</v>
      </c>
    </row>
    <row r="204" spans="14:14" x14ac:dyDescent="0.4">
      <c r="N204" s="4">
        <v>9009</v>
      </c>
    </row>
    <row r="205" spans="14:14" x14ac:dyDescent="0.4">
      <c r="N205" s="4">
        <v>9020</v>
      </c>
    </row>
    <row r="206" spans="14:14" x14ac:dyDescent="0.4">
      <c r="N206" s="4">
        <v>9021</v>
      </c>
    </row>
    <row r="207" spans="14:14" x14ac:dyDescent="0.4">
      <c r="N207" s="4">
        <v>9022</v>
      </c>
    </row>
    <row r="208" spans="14:14" x14ac:dyDescent="0.4">
      <c r="N208" s="4">
        <v>9064</v>
      </c>
    </row>
    <row r="209" spans="14:14" x14ac:dyDescent="0.4">
      <c r="N209" s="4">
        <v>9101</v>
      </c>
    </row>
    <row r="210" spans="14:14" x14ac:dyDescent="0.4">
      <c r="N210" s="4">
        <v>9104</v>
      </c>
    </row>
    <row r="211" spans="14:14" x14ac:dyDescent="0.4">
      <c r="N211" s="4">
        <v>9107</v>
      </c>
    </row>
    <row r="212" spans="14:14" x14ac:dyDescent="0.4">
      <c r="N212" s="4">
        <v>9147</v>
      </c>
    </row>
    <row r="213" spans="14:14" x14ac:dyDescent="0.4">
      <c r="N213" s="4">
        <v>9202</v>
      </c>
    </row>
    <row r="214" spans="14:14" x14ac:dyDescent="0.4">
      <c r="N214" s="4">
        <v>9301</v>
      </c>
    </row>
    <row r="215" spans="14:14" x14ac:dyDescent="0.4">
      <c r="N215" s="4">
        <v>9432</v>
      </c>
    </row>
    <row r="216" spans="14:14" x14ac:dyDescent="0.4">
      <c r="N216" s="4">
        <v>9433</v>
      </c>
    </row>
    <row r="217" spans="14:14" x14ac:dyDescent="0.4">
      <c r="N217" s="4">
        <v>9434</v>
      </c>
    </row>
    <row r="218" spans="14:14" x14ac:dyDescent="0.4">
      <c r="N218" s="4">
        <v>9501</v>
      </c>
    </row>
    <row r="219" spans="14:14" x14ac:dyDescent="0.4">
      <c r="N219" s="4">
        <v>9502</v>
      </c>
    </row>
    <row r="220" spans="14:14" x14ac:dyDescent="0.4">
      <c r="N220" s="4">
        <v>9503</v>
      </c>
    </row>
    <row r="221" spans="14:14" x14ac:dyDescent="0.4">
      <c r="N221" s="4">
        <v>9531</v>
      </c>
    </row>
    <row r="222" spans="14:14" x14ac:dyDescent="0.4">
      <c r="N222" s="4">
        <v>9532</v>
      </c>
    </row>
    <row r="223" spans="14:14" x14ac:dyDescent="0.4">
      <c r="N223" s="4">
        <v>9602</v>
      </c>
    </row>
    <row r="224" spans="14:14" x14ac:dyDescent="0.4">
      <c r="N224" s="4">
        <v>9613</v>
      </c>
    </row>
    <row r="225" spans="14:14" x14ac:dyDescent="0.4">
      <c r="N225" s="4">
        <v>9735</v>
      </c>
    </row>
    <row r="226" spans="14:14" x14ac:dyDescent="0.4">
      <c r="N226" s="4">
        <v>9766</v>
      </c>
    </row>
    <row r="227" spans="14:14" x14ac:dyDescent="0.4">
      <c r="N227" s="4">
        <v>9983</v>
      </c>
    </row>
    <row r="228" spans="14:14" x14ac:dyDescent="0.4">
      <c r="N228" s="4">
        <v>9984</v>
      </c>
    </row>
  </sheetData>
  <sortState ref="P49:V68">
    <sortCondition ref="T51:T70"/>
    <sortCondition ref="V51:V70"/>
    <sortCondition descending="1" ref="U51:U70"/>
  </sortState>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get_CLMMfdsGetMarketPrice">
                <anchor moveWithCells="1" sizeWithCells="1">
                  <from>
                    <xdr:col>5</xdr:col>
                    <xdr:colOff>142875</xdr:colOff>
                    <xdr:row>2</xdr:row>
                    <xdr:rowOff>123825</xdr:rowOff>
                  </from>
                  <to>
                    <xdr:col>5</xdr:col>
                    <xdr:colOff>1724025</xdr:colOff>
                    <xdr:row>2</xdr:row>
                    <xdr:rowOff>457200</xdr:rowOff>
                  </to>
                </anchor>
              </controlPr>
            </control>
          </mc:Choice>
        </mc:AlternateContent>
        <mc:AlternateContent xmlns:mc="http://schemas.openxmlformats.org/markup-compatibility/2006">
          <mc:Choice Requires="x14">
            <control shapeId="10242" r:id="rId4" name="Button 2">
              <controlPr defaultSize="0" print="0" autoFill="0" autoPict="0" macro="[0]!get_CLMMfdsGetMarketPriceHistory">
                <anchor moveWithCells="1" sizeWithCells="1">
                  <from>
                    <xdr:col>1</xdr:col>
                    <xdr:colOff>142875</xdr:colOff>
                    <xdr:row>2</xdr:row>
                    <xdr:rowOff>123825</xdr:rowOff>
                  </from>
                  <to>
                    <xdr:col>1</xdr:col>
                    <xdr:colOff>1819275</xdr:colOff>
                    <xdr:row>2</xdr:row>
                    <xdr:rowOff>457200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Z20"/>
  <sheetViews>
    <sheetView workbookViewId="0"/>
  </sheetViews>
  <sheetFormatPr defaultRowHeight="18.75" x14ac:dyDescent="0.4"/>
  <cols>
    <col min="1" max="1" width="19.875" bestFit="1" customWidth="1"/>
    <col min="2" max="2" width="27.25" customWidth="1"/>
    <col min="3" max="3" width="13.875" customWidth="1"/>
    <col min="6" max="6" width="28.375" customWidth="1"/>
    <col min="7" max="7" width="16.875" customWidth="1"/>
    <col min="10" max="10" width="28.625" customWidth="1"/>
    <col min="14" max="14" width="28.625" customWidth="1"/>
    <col min="15" max="15" width="13.125" customWidth="1"/>
    <col min="18" max="18" width="31.75" customWidth="1"/>
    <col min="22" max="22" width="36.75" customWidth="1"/>
    <col min="26" max="26" width="31.75" customWidth="1"/>
  </cols>
  <sheetData>
    <row r="1" spans="1:26" s="11" customFormat="1" ht="21" customHeight="1" x14ac:dyDescent="0.4">
      <c r="A1" s="11" t="s">
        <v>84</v>
      </c>
      <c r="B1" s="11" t="s">
        <v>399</v>
      </c>
      <c r="F1" s="11" t="s">
        <v>402</v>
      </c>
      <c r="J1" s="11" t="s">
        <v>403</v>
      </c>
      <c r="N1" s="11" t="s">
        <v>405</v>
      </c>
      <c r="R1" s="11" t="s">
        <v>406</v>
      </c>
      <c r="V1" s="11" t="s">
        <v>420</v>
      </c>
      <c r="Z1" s="11" t="s">
        <v>409</v>
      </c>
    </row>
    <row r="2" spans="1:26" s="11" customFormat="1" ht="21" customHeight="1" x14ac:dyDescent="0.4">
      <c r="A2" s="11" t="s">
        <v>85</v>
      </c>
      <c r="B2" s="15" t="s">
        <v>398</v>
      </c>
      <c r="F2" s="15" t="s">
        <v>400</v>
      </c>
      <c r="J2" s="15" t="s">
        <v>401</v>
      </c>
      <c r="N2" s="15" t="s">
        <v>404</v>
      </c>
      <c r="R2" s="15" t="s">
        <v>407</v>
      </c>
      <c r="V2" s="15" t="s">
        <v>408</v>
      </c>
      <c r="Z2" s="15" t="s">
        <v>410</v>
      </c>
    </row>
    <row r="3" spans="1:26" ht="63" customHeight="1" x14ac:dyDescent="0.4"/>
    <row r="14" spans="1:26" x14ac:dyDescent="0.4">
      <c r="A14" t="s">
        <v>70</v>
      </c>
      <c r="E14" t="s">
        <v>70</v>
      </c>
      <c r="I14" t="s">
        <v>70</v>
      </c>
      <c r="M14" t="s">
        <v>70</v>
      </c>
      <c r="Q14" t="s">
        <v>70</v>
      </c>
      <c r="U14" t="s">
        <v>70</v>
      </c>
      <c r="Y14" t="s">
        <v>70</v>
      </c>
    </row>
    <row r="15" spans="1:26" x14ac:dyDescent="0.4">
      <c r="A15" t="s">
        <v>78</v>
      </c>
      <c r="B15" t="b">
        <v>1</v>
      </c>
      <c r="E15" t="s">
        <v>78</v>
      </c>
      <c r="F15" t="b">
        <v>1</v>
      </c>
      <c r="I15" t="s">
        <v>78</v>
      </c>
      <c r="J15" t="b">
        <v>1</v>
      </c>
      <c r="M15" t="s">
        <v>78</v>
      </c>
      <c r="N15" t="b">
        <v>1</v>
      </c>
      <c r="Q15" t="s">
        <v>78</v>
      </c>
      <c r="R15" t="b">
        <v>1</v>
      </c>
      <c r="U15" t="s">
        <v>78</v>
      </c>
      <c r="V15" t="b">
        <v>1</v>
      </c>
      <c r="Y15" t="s">
        <v>78</v>
      </c>
      <c r="Z15" t="b">
        <v>1</v>
      </c>
    </row>
    <row r="16" spans="1:26" x14ac:dyDescent="0.4">
      <c r="A16" t="s">
        <v>395</v>
      </c>
      <c r="B16" t="b">
        <v>1</v>
      </c>
      <c r="E16" t="s">
        <v>396</v>
      </c>
      <c r="F16" t="b">
        <v>1</v>
      </c>
      <c r="I16" t="s">
        <v>395</v>
      </c>
      <c r="J16" t="b">
        <v>1</v>
      </c>
      <c r="M16" t="s">
        <v>77</v>
      </c>
      <c r="N16" t="b">
        <v>1</v>
      </c>
      <c r="Q16" t="s">
        <v>77</v>
      </c>
      <c r="R16" t="b">
        <v>1</v>
      </c>
      <c r="U16" t="s">
        <v>77</v>
      </c>
      <c r="V16" t="b">
        <v>1</v>
      </c>
      <c r="Y16" t="s">
        <v>77</v>
      </c>
      <c r="Z16" t="b">
        <v>1</v>
      </c>
    </row>
    <row r="17" spans="1:26" x14ac:dyDescent="0.4">
      <c r="A17" t="s">
        <v>45</v>
      </c>
      <c r="B17" s="8" t="s">
        <v>397</v>
      </c>
      <c r="E17" t="s">
        <v>45</v>
      </c>
      <c r="F17" s="8" t="s">
        <v>397</v>
      </c>
      <c r="I17" t="s">
        <v>45</v>
      </c>
      <c r="J17" s="8" t="s">
        <v>397</v>
      </c>
      <c r="M17" t="s">
        <v>45</v>
      </c>
      <c r="N17" s="8" t="s">
        <v>397</v>
      </c>
      <c r="Q17" t="s">
        <v>45</v>
      </c>
      <c r="R17" s="8" t="s">
        <v>397</v>
      </c>
      <c r="U17" t="s">
        <v>45</v>
      </c>
      <c r="V17" s="8" t="s">
        <v>397</v>
      </c>
      <c r="Y17" t="s">
        <v>45</v>
      </c>
      <c r="Z17" s="8" t="s">
        <v>397</v>
      </c>
    </row>
    <row r="18" spans="1:26" x14ac:dyDescent="0.4">
      <c r="A18" t="s">
        <v>44</v>
      </c>
      <c r="B18" s="13">
        <v>0</v>
      </c>
      <c r="E18" t="s">
        <v>44</v>
      </c>
      <c r="F18" s="13">
        <v>0</v>
      </c>
      <c r="I18" t="s">
        <v>44</v>
      </c>
      <c r="J18" s="13">
        <v>0</v>
      </c>
      <c r="M18" t="s">
        <v>44</v>
      </c>
      <c r="N18" s="13">
        <v>0</v>
      </c>
      <c r="Q18" t="s">
        <v>44</v>
      </c>
      <c r="R18" s="13">
        <v>0</v>
      </c>
      <c r="U18" t="s">
        <v>44</v>
      </c>
      <c r="V18" s="13">
        <v>0</v>
      </c>
      <c r="Y18" t="s">
        <v>44</v>
      </c>
      <c r="Z18" s="13">
        <v>0</v>
      </c>
    </row>
    <row r="19" spans="1:26" x14ac:dyDescent="0.4">
      <c r="A19" t="s">
        <v>361</v>
      </c>
      <c r="B19" s="14"/>
      <c r="E19" t="s">
        <v>46</v>
      </c>
      <c r="F19" s="14"/>
      <c r="I19" t="s">
        <v>46</v>
      </c>
      <c r="J19" s="14"/>
      <c r="M19" t="s">
        <v>46</v>
      </c>
      <c r="N19" s="14"/>
      <c r="Q19" t="s">
        <v>46</v>
      </c>
      <c r="R19" s="14"/>
      <c r="U19" t="s">
        <v>46</v>
      </c>
      <c r="V19" s="14"/>
      <c r="Y19" t="s">
        <v>46</v>
      </c>
      <c r="Z19" s="14"/>
    </row>
    <row r="20" spans="1:26" x14ac:dyDescent="0.4">
      <c r="B20" s="14"/>
      <c r="E20" t="s">
        <v>47</v>
      </c>
      <c r="F20" s="14"/>
      <c r="I20" t="s">
        <v>47</v>
      </c>
      <c r="J20" s="14"/>
      <c r="M20" t="s">
        <v>47</v>
      </c>
      <c r="N20" s="14"/>
      <c r="Q20" t="s">
        <v>47</v>
      </c>
      <c r="R20" s="14"/>
      <c r="U20" t="s">
        <v>47</v>
      </c>
      <c r="V20" s="14"/>
      <c r="Y20" t="s">
        <v>47</v>
      </c>
      <c r="Z20" s="14"/>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get_master_kobetu_CLMIssueMstKabu">
                <anchor moveWithCells="1" sizeWithCells="1">
                  <from>
                    <xdr:col>1</xdr:col>
                    <xdr:colOff>47625</xdr:colOff>
                    <xdr:row>2</xdr:row>
                    <xdr:rowOff>95250</xdr:rowOff>
                  </from>
                  <to>
                    <xdr:col>1</xdr:col>
                    <xdr:colOff>2028825</xdr:colOff>
                    <xdr:row>2</xdr:row>
                    <xdr:rowOff>733425</xdr:rowOff>
                  </to>
                </anchor>
              </controlPr>
            </control>
          </mc:Choice>
        </mc:AlternateContent>
        <mc:AlternateContent xmlns:mc="http://schemas.openxmlformats.org/markup-compatibility/2006">
          <mc:Choice Requires="x14">
            <control shapeId="15363" r:id="rId4" name="Button 3">
              <controlPr defaultSize="0" print="0" autoFill="0" autoPict="0" macro="[0]!get_master_kobetu_CLMIssueSizyouMstKabu">
                <anchor moveWithCells="1" sizeWithCells="1">
                  <from>
                    <xdr:col>5</xdr:col>
                    <xdr:colOff>47625</xdr:colOff>
                    <xdr:row>2</xdr:row>
                    <xdr:rowOff>95250</xdr:rowOff>
                  </from>
                  <to>
                    <xdr:col>5</xdr:col>
                    <xdr:colOff>2028825</xdr:colOff>
                    <xdr:row>2</xdr:row>
                    <xdr:rowOff>733425</xdr:rowOff>
                  </to>
                </anchor>
              </controlPr>
            </control>
          </mc:Choice>
        </mc:AlternateContent>
        <mc:AlternateContent xmlns:mc="http://schemas.openxmlformats.org/markup-compatibility/2006">
          <mc:Choice Requires="x14">
            <control shapeId="15365" r:id="rId5" name="Button 5">
              <controlPr defaultSize="0" print="0" autoFill="0" autoPict="0" macro="[0]!get_master_kobetu_CLMIssueMstSak">
                <anchor moveWithCells="1" sizeWithCells="1">
                  <from>
                    <xdr:col>9</xdr:col>
                    <xdr:colOff>47625</xdr:colOff>
                    <xdr:row>2</xdr:row>
                    <xdr:rowOff>95250</xdr:rowOff>
                  </from>
                  <to>
                    <xdr:col>9</xdr:col>
                    <xdr:colOff>2028825</xdr:colOff>
                    <xdr:row>2</xdr:row>
                    <xdr:rowOff>733425</xdr:rowOff>
                  </to>
                </anchor>
              </controlPr>
            </control>
          </mc:Choice>
        </mc:AlternateContent>
        <mc:AlternateContent xmlns:mc="http://schemas.openxmlformats.org/markup-compatibility/2006">
          <mc:Choice Requires="x14">
            <control shapeId="15366" r:id="rId6" name="Button 6">
              <controlPr defaultSize="0" print="0" autoFill="0" autoPict="0" macro="[0]!get_master_kobetu_CLMIssueSizyouMstKabu">
                <anchor moveWithCells="1" sizeWithCells="1">
                  <from>
                    <xdr:col>13</xdr:col>
                    <xdr:colOff>47625</xdr:colOff>
                    <xdr:row>2</xdr:row>
                    <xdr:rowOff>95250</xdr:rowOff>
                  </from>
                  <to>
                    <xdr:col>13</xdr:col>
                    <xdr:colOff>2028825</xdr:colOff>
                    <xdr:row>2</xdr:row>
                    <xdr:rowOff>733425</xdr:rowOff>
                  </to>
                </anchor>
              </controlPr>
            </control>
          </mc:Choice>
        </mc:AlternateContent>
        <mc:AlternateContent xmlns:mc="http://schemas.openxmlformats.org/markup-compatibility/2006">
          <mc:Choice Requires="x14">
            <control shapeId="15367" r:id="rId7" name="Button 7">
              <controlPr defaultSize="0" print="0" autoFill="0" autoPict="0" macro="[0]!get_master_kobetu_CLMIssueMstOp">
                <anchor moveWithCells="1" sizeWithCells="1">
                  <from>
                    <xdr:col>13</xdr:col>
                    <xdr:colOff>47625</xdr:colOff>
                    <xdr:row>2</xdr:row>
                    <xdr:rowOff>95250</xdr:rowOff>
                  </from>
                  <to>
                    <xdr:col>13</xdr:col>
                    <xdr:colOff>2028825</xdr:colOff>
                    <xdr:row>2</xdr:row>
                    <xdr:rowOff>733425</xdr:rowOff>
                  </to>
                </anchor>
              </controlPr>
            </control>
          </mc:Choice>
        </mc:AlternateContent>
        <mc:AlternateContent xmlns:mc="http://schemas.openxmlformats.org/markup-compatibility/2006">
          <mc:Choice Requires="x14">
            <control shapeId="15368" r:id="rId8" name="Button 8">
              <controlPr defaultSize="0" print="0" autoFill="0" autoPict="0" macro="[0]!get_master_kobetu_CLMIssueSizyouMstKabu">
                <anchor moveWithCells="1" sizeWithCells="1">
                  <from>
                    <xdr:col>17</xdr:col>
                    <xdr:colOff>47625</xdr:colOff>
                    <xdr:row>2</xdr:row>
                    <xdr:rowOff>95250</xdr:rowOff>
                  </from>
                  <to>
                    <xdr:col>17</xdr:col>
                    <xdr:colOff>2028825</xdr:colOff>
                    <xdr:row>2</xdr:row>
                    <xdr:rowOff>733425</xdr:rowOff>
                  </to>
                </anchor>
              </controlPr>
            </control>
          </mc:Choice>
        </mc:AlternateContent>
        <mc:AlternateContent xmlns:mc="http://schemas.openxmlformats.org/markup-compatibility/2006">
          <mc:Choice Requires="x14">
            <control shapeId="15369" r:id="rId9" name="Button 9">
              <controlPr defaultSize="0" print="0" autoFill="0" autoPict="0" macro="[0]!get_master_kobetu_CLMIssueMstOther">
                <anchor moveWithCells="1" sizeWithCells="1">
                  <from>
                    <xdr:col>17</xdr:col>
                    <xdr:colOff>47625</xdr:colOff>
                    <xdr:row>2</xdr:row>
                    <xdr:rowOff>95250</xdr:rowOff>
                  </from>
                  <to>
                    <xdr:col>17</xdr:col>
                    <xdr:colOff>2343150</xdr:colOff>
                    <xdr:row>2</xdr:row>
                    <xdr:rowOff>733425</xdr:rowOff>
                  </to>
                </anchor>
              </controlPr>
            </control>
          </mc:Choice>
        </mc:AlternateContent>
        <mc:AlternateContent xmlns:mc="http://schemas.openxmlformats.org/markup-compatibility/2006">
          <mc:Choice Requires="x14">
            <control shapeId="15370" r:id="rId10" name="Button 10">
              <controlPr defaultSize="0" print="0" autoFill="0" autoPict="0" macro="[0]!get_master_kobetu_CLMIssueMstSak">
                <anchor moveWithCells="1" sizeWithCells="1">
                  <from>
                    <xdr:col>21</xdr:col>
                    <xdr:colOff>47625</xdr:colOff>
                    <xdr:row>2</xdr:row>
                    <xdr:rowOff>95250</xdr:rowOff>
                  </from>
                  <to>
                    <xdr:col>21</xdr:col>
                    <xdr:colOff>2028825</xdr:colOff>
                    <xdr:row>2</xdr:row>
                    <xdr:rowOff>733425</xdr:rowOff>
                  </to>
                </anchor>
              </controlPr>
            </control>
          </mc:Choice>
        </mc:AlternateContent>
        <mc:AlternateContent xmlns:mc="http://schemas.openxmlformats.org/markup-compatibility/2006">
          <mc:Choice Requires="x14">
            <control shapeId="15371" r:id="rId11" name="Button 11">
              <controlPr defaultSize="0" print="0" autoFill="0" autoPict="0" macro="[0]!get_master_kobetu_CLMIssueSizyouMstKabu">
                <anchor moveWithCells="1" sizeWithCells="1">
                  <from>
                    <xdr:col>21</xdr:col>
                    <xdr:colOff>47625</xdr:colOff>
                    <xdr:row>2</xdr:row>
                    <xdr:rowOff>95250</xdr:rowOff>
                  </from>
                  <to>
                    <xdr:col>21</xdr:col>
                    <xdr:colOff>2028825</xdr:colOff>
                    <xdr:row>2</xdr:row>
                    <xdr:rowOff>733425</xdr:rowOff>
                  </to>
                </anchor>
              </controlPr>
            </control>
          </mc:Choice>
        </mc:AlternateContent>
        <mc:AlternateContent xmlns:mc="http://schemas.openxmlformats.org/markup-compatibility/2006">
          <mc:Choice Requires="x14">
            <control shapeId="15372" r:id="rId12" name="Button 12">
              <controlPr defaultSize="0" print="0" autoFill="0" autoPict="0" macro="[0]!get_master_kobetu_CLMOrderErrReason">
                <anchor moveWithCells="1" sizeWithCells="1">
                  <from>
                    <xdr:col>21</xdr:col>
                    <xdr:colOff>47625</xdr:colOff>
                    <xdr:row>2</xdr:row>
                    <xdr:rowOff>95250</xdr:rowOff>
                  </from>
                  <to>
                    <xdr:col>21</xdr:col>
                    <xdr:colOff>2695575</xdr:colOff>
                    <xdr:row>2</xdr:row>
                    <xdr:rowOff>733425</xdr:rowOff>
                  </to>
                </anchor>
              </controlPr>
            </control>
          </mc:Choice>
        </mc:AlternateContent>
        <mc:AlternateContent xmlns:mc="http://schemas.openxmlformats.org/markup-compatibility/2006">
          <mc:Choice Requires="x14">
            <control shapeId="15373" r:id="rId13" name="Button 13">
              <controlPr defaultSize="0" print="0" autoFill="0" autoPict="0" macro="[0]!get_master_kobetu_CLMIssueSizyouMstKabu">
                <anchor moveWithCells="1" sizeWithCells="1">
                  <from>
                    <xdr:col>25</xdr:col>
                    <xdr:colOff>47625</xdr:colOff>
                    <xdr:row>2</xdr:row>
                    <xdr:rowOff>95250</xdr:rowOff>
                  </from>
                  <to>
                    <xdr:col>25</xdr:col>
                    <xdr:colOff>2028825</xdr:colOff>
                    <xdr:row>2</xdr:row>
                    <xdr:rowOff>733425</xdr:rowOff>
                  </to>
                </anchor>
              </controlPr>
            </control>
          </mc:Choice>
        </mc:AlternateContent>
        <mc:AlternateContent xmlns:mc="http://schemas.openxmlformats.org/markup-compatibility/2006">
          <mc:Choice Requires="x14">
            <control shapeId="15374" r:id="rId14" name="Button 14">
              <controlPr defaultSize="0" print="0" autoFill="0" autoPict="0" macro="[0]!get_master_kobetu_CLMDateZyouhou">
                <anchor moveWithCells="1" sizeWithCells="1">
                  <from>
                    <xdr:col>25</xdr:col>
                    <xdr:colOff>47625</xdr:colOff>
                    <xdr:row>2</xdr:row>
                    <xdr:rowOff>95250</xdr:rowOff>
                  </from>
                  <to>
                    <xdr:col>25</xdr:col>
                    <xdr:colOff>2343150</xdr:colOff>
                    <xdr:row>2</xdr:row>
                    <xdr:rowOff>733425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E2:G46"/>
  <sheetViews>
    <sheetView workbookViewId="0"/>
  </sheetViews>
  <sheetFormatPr defaultColWidth="11.25" defaultRowHeight="18.75" x14ac:dyDescent="0.4"/>
  <cols>
    <col min="1" max="1" width="11.25" style="40"/>
    <col min="2" max="2" width="29.25" style="40" customWidth="1"/>
    <col min="3" max="3" width="33.75" style="40" customWidth="1"/>
    <col min="4" max="4" width="34.5" style="40" customWidth="1"/>
    <col min="5" max="5" width="24.5" style="40" bestFit="1" customWidth="1"/>
    <col min="6" max="6" width="34.125" style="40" customWidth="1"/>
    <col min="7" max="7" width="23.125" style="40" bestFit="1" customWidth="1"/>
    <col min="8" max="8" width="24.625" style="40" customWidth="1"/>
    <col min="9" max="9" width="23.125" style="40" bestFit="1" customWidth="1"/>
    <col min="10" max="16384" width="11.25" style="40"/>
  </cols>
  <sheetData>
    <row r="2" spans="5:7" s="41" customFormat="1" ht="175.5" customHeight="1" x14ac:dyDescent="0.4"/>
    <row r="11" spans="5:7" x14ac:dyDescent="0.4">
      <c r="E11" s="42"/>
    </row>
    <row r="12" spans="5:7" x14ac:dyDescent="0.4">
      <c r="E12" s="43"/>
      <c r="G12" s="43"/>
    </row>
    <row r="14" spans="5:7" x14ac:dyDescent="0.4">
      <c r="E14" s="43"/>
      <c r="G14" s="43"/>
    </row>
    <row r="16" spans="5:7" x14ac:dyDescent="0.4">
      <c r="E16" s="43"/>
      <c r="G16" s="43"/>
    </row>
    <row r="22" spans="5:7" x14ac:dyDescent="0.4">
      <c r="E22" s="43"/>
      <c r="G22" s="43"/>
    </row>
    <row r="24" spans="5:7" x14ac:dyDescent="0.4">
      <c r="E24" s="43"/>
      <c r="G24" s="43"/>
    </row>
    <row r="26" spans="5:7" x14ac:dyDescent="0.4">
      <c r="E26" s="43"/>
      <c r="G26" s="43"/>
    </row>
    <row r="32" spans="5:7" x14ac:dyDescent="0.4">
      <c r="E32" s="43"/>
      <c r="G32" s="43"/>
    </row>
    <row r="34" spans="5:7" x14ac:dyDescent="0.4">
      <c r="E34" s="43"/>
      <c r="G34" s="43"/>
    </row>
    <row r="36" spans="5:7" x14ac:dyDescent="0.4">
      <c r="E36" s="43"/>
      <c r="G36" s="43"/>
    </row>
    <row r="42" spans="5:7" x14ac:dyDescent="0.4">
      <c r="E42" s="43"/>
      <c r="G42" s="43"/>
    </row>
    <row r="44" spans="5:7" x14ac:dyDescent="0.4">
      <c r="E44" s="43"/>
      <c r="G44" s="43"/>
    </row>
    <row r="46" spans="5:7" x14ac:dyDescent="0.4">
      <c r="E46" s="43"/>
      <c r="G46" s="43"/>
    </row>
  </sheetData>
  <phoneticPr fontId="1"/>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ColWidth="10.625" defaultRowHeight="18.75" x14ac:dyDescent="0.4"/>
  <cols>
    <col min="1" max="4" width="10.625" style="40"/>
    <col min="5" max="5" width="9.5" style="40" bestFit="1" customWidth="1"/>
    <col min="6" max="16384" width="10.625" style="40"/>
  </cols>
  <sheetData/>
  <phoneticPr fontId="1"/>
  <pageMargins left="0.39370078740157483" right="0.23622047244094491" top="0.74803149606299213" bottom="0.74803149606299213" header="0.31496062992125984" footer="0.31496062992125984"/>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9</vt:i4>
      </vt:variant>
    </vt:vector>
  </HeadingPairs>
  <TitlesOfParts>
    <vt:vector size="9" baseType="lpstr">
      <vt:lpstr>e_API_read_me</vt:lpstr>
      <vt:lpstr>設定</vt:lpstr>
      <vt:lpstr>照会</vt:lpstr>
      <vt:lpstr>現物</vt:lpstr>
      <vt:lpstr>信用</vt:lpstr>
      <vt:lpstr>株価</vt:lpstr>
      <vt:lpstr>マスター</vt:lpstr>
      <vt:lpstr>api_応答</vt:lpstr>
      <vt:lpstr>結果</vt:lpstr>
    </vt:vector>
  </TitlesOfParts>
  <Company>HP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yoshio</dc:creator>
  <cp:lastModifiedBy>yoshio</cp:lastModifiedBy>
  <cp:lastPrinted>2023-05-31T03:00:42Z</cp:lastPrinted>
  <dcterms:created xsi:type="dcterms:W3CDTF">2021-07-30T00:58:19Z</dcterms:created>
  <dcterms:modified xsi:type="dcterms:W3CDTF">2023-06-22T03:33:18Z</dcterms:modified>
</cp:coreProperties>
</file>