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
    </mc:Choice>
  </mc:AlternateContent>
  <bookViews>
    <workbookView xWindow="0" yWindow="0" windowWidth="8175" windowHeight="1470" tabRatio="509"/>
  </bookViews>
  <sheets>
    <sheet name="e_API_read_me" sheetId="2" r:id="rId1"/>
    <sheet name="設定" sheetId="1" r:id="rId2"/>
    <sheet name="照会" sheetId="7" r:id="rId3"/>
    <sheet name="現物" sheetId="8" r:id="rId4"/>
    <sheet name="信用" sheetId="6" r:id="rId5"/>
    <sheet name="株価" sheetId="9" r:id="rId6"/>
    <sheet name="api_応答" sheetId="4" r:id="rId7"/>
    <sheet name="結果" sheetId="5" r:id="rId8"/>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<sst xmlns="http://schemas.openxmlformats.org/spreadsheetml/2006/main" count="707" uniqueCount="401">
  <si>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</si>
  <si>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</si>
  <si>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</si>
  <si>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</si>
  <si>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</si>
  <si>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</si>
  <si>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</si>
  <si>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</si>
  <si>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</si>
  <si>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</si>
  <si>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</si>
  <si>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JsonConverter (Specs.bas)</t>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</si>
  <si>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</si>
  <si>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</si>
  <si>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</si>
  <si>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</si>
  <si>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</si>
  <si>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</si>
  <si>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</si>
  <si>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ｅ支店・ＡＰＩのご利用については専用ページ（https://kabuka.e-shiten.jp/e_api/mfds_json_api_menu.html）を参照願います。</t>
    <rPh sb="0" eb="3">
      <t>エシテン</t>
    </rPh>
    <rPh sb="9" eb="11">
      <t>リヨウ</t>
    </rPh>
    <rPh sb="16" eb="18">
      <t>センヨウ</t>
    </rPh>
    <rPh sb="80" eb="82">
      <t>サンショウ</t>
    </rPh>
    <rPh sb="82" eb="83">
      <t>ネガ</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</si>
  <si>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</si>
  <si>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</si>
  <si>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</si>
  <si>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</si>
  <si>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</si>
  <si>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</si>
  <si>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</si>
  <si>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６．利用方法</t>
    <rPh sb="2" eb="6">
      <t>リヨウホウホウ</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</si>
  <si>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</si>
  <si>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</si>
  <si>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</si>
  <si>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</si>
  <si>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</si>
  <si>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</si>
  <si>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</si>
  <si>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ログインＩＤ</t>
    <phoneticPr fontId="1"/>
  </si>
  <si>
    <t>ログイン用パスワード（第1）</t>
    <rPh sb="4" eb="5">
      <t>ヨウ</t>
    </rPh>
    <rPh sb="11" eb="12">
      <t>ダイ</t>
    </rPh>
    <phoneticPr fontId="1"/>
  </si>
  <si>
    <t>注文用パスワード1（第２）</t>
    <rPh sb="0" eb="3">
      <t>チュウモンヨウ</t>
    </rPh>
    <rPh sb="10" eb="11">
      <t>ダイ</t>
    </rPh>
    <phoneticPr fontId="1"/>
  </si>
  <si>
    <t>api接続url</t>
    <rPh sb="3" eb="5">
      <t>セツゾク</t>
    </rPh>
    <phoneticPr fontId="1"/>
  </si>
  <si>
    <t>営業日</t>
    <rPh sb="0" eb="3">
      <t>エイギョウビ</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</si>
  <si>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</si>
  <si>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</si>
  <si>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</si>
  <si>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</si>
  <si>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</si>
  <si>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p_errno</t>
  </si>
  <si>
    <t>sCLMID</t>
  </si>
  <si>
    <t>sResultCode</t>
  </si>
  <si>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</si>
  <si>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</si>
  <si>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</si>
  <si>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Microsoft Windows10 Professional 64bit、EXCEL 2016.</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</si>
  <si>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</si>
  <si>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</si>
  <si>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</si>
  <si>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</si>
  <si>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</si>
  <si>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</si>
  <si>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</si>
  <si>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</si>
  <si>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</si>
  <si>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</si>
  <si>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</si>
  <si>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注文受付番号</t>
    <rPh sb="0" eb="2">
      <t>チュウモン</t>
    </rPh>
    <rPh sb="2" eb="6">
      <t>ウケツケバンゴウ</t>
    </rPh>
    <phoneticPr fontId="1"/>
  </si>
  <si>
    <t>APIからの返信（注文取消で利用する。）</t>
    <rPh sb="6" eb="8">
      <t>ヘンシン</t>
    </rPh>
    <rPh sb="9" eb="13">
      <t>チュウモントリケ</t>
    </rPh>
    <rPh sb="14" eb="16">
      <t>リヨウ</t>
    </rPh>
    <phoneticPr fontId="1"/>
  </si>
  <si>
    <t>注文結果（sResultCode）</t>
    <rPh sb="0" eb="4">
      <t>チュウモンケッカ</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</si>
  <si>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</si>
  <si>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</si>
  <si>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</si>
  <si>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</si>
  <si>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</si>
  <si>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</si>
  <si>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</si>
  <si>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</si>
  <si>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</si>
  <si>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</si>
  <si>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</si>
  <si>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</si>
  <si>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</si>
  <si>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</si>
  <si>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</si>
  <si>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</si>
  <si>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t>
  </si>
  <si>
    <t>CLMKabuCancelOrderAll</t>
  </si>
  <si>
    <t>CLMKabuNewOrder</t>
  </si>
  <si>
    <t>モジュール名</t>
    <rPh sb="5" eb="6">
      <t>メイ</t>
    </rPh>
    <phoneticPr fontId="1"/>
  </si>
  <si>
    <t>プロシージャー名</t>
    <rPh sb="7" eb="8">
      <t>メイ</t>
    </rPh>
    <phoneticPr fontId="1"/>
  </si>
  <si>
    <t>照会_現物_買付可能額</t>
    <phoneticPr fontId="1"/>
  </si>
  <si>
    <t>照会_信用_新規建可能額</t>
  </si>
  <si>
    <t>照会_注文約定一覧</t>
    <rPh sb="3" eb="7">
      <t>チュウモンヤクジョウ</t>
    </rPh>
    <rPh sb="7" eb="9">
      <t>イチラン</t>
    </rPh>
    <phoneticPr fontId="1"/>
  </si>
  <si>
    <t>get_order_list</t>
  </si>
  <si>
    <t>get_order_list_detail</t>
    <phoneticPr fontId="1"/>
  </si>
  <si>
    <t>CLMOrderListDetail</t>
  </si>
  <si>
    <t>sOrderNumber（0～99999999、左詰め、マイナスの場合なし）</t>
    <phoneticPr fontId="1"/>
  </si>
  <si>
    <t>sEigyouDay（"YYYYMMDD"）</t>
    <phoneticPr fontId="1"/>
  </si>
  <si>
    <t>注文番号</t>
  </si>
  <si>
    <t>営業日</t>
  </si>
  <si>
    <t>照会_注文約定_詳細</t>
    <rPh sb="3" eb="7">
      <t>チュウモンヤクジョウ</t>
    </rPh>
    <rPh sb="8" eb="10">
      <t>ショウサイ</t>
    </rPh>
    <phoneticPr fontId="1"/>
  </si>
  <si>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</si>
  <si>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</si>
  <si>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</si>
  <si>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</si>
  <si>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</si>
  <si>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</si>
  <si>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</si>
  <si>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</si>
  <si>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</si>
  <si>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</si>
  <si>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</si>
  <si>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注文受付番号 sOrderNumber</t>
    <rPh sb="0" eb="2">
      <t>チュウモン</t>
    </rPh>
    <rPh sb="2" eb="6">
      <t>ウケツケバンゴウ</t>
    </rPh>
    <phoneticPr fontId="1"/>
  </si>
  <si>
    <t>営業日 sEigyouDay</t>
    <rPh sb="0" eb="3">
      <t>エイギョウビ</t>
    </rPh>
    <phoneticPr fontId="1"/>
  </si>
  <si>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</si>
  <si>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</si>
  <si>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</si>
  <si>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</si>
  <si>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</si>
  <si>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</si>
  <si>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</si>
  <si>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</si>
  <si>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</si>
  <si>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</si>
  <si>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</si>
  <si>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</si>
  <si>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</si>
  <si>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</si>
  <si>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</si>
  <si>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</si>
  <si>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</si>
  <si>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</si>
  <si>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</si>
  <si>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</si>
  <si>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</si>
  <si>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</si>
  <si>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</si>
  <si>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</si>
  <si>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</si>
  <si>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</si>
  <si>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</si>
  <si>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</si>
  <si>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</si>
  <si>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</si>
  <si>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</si>
  <si>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</si>
  <si>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</si>
  <si>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</si>
  <si>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</si>
  <si>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</si>
  <si>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</si>
  <si>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</si>
  <si>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</si>
  <si>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</si>
  <si>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</si>
  <si>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</si>
  <si>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</si>
  <si>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</si>
  <si>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</si>
  <si>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CLMZanKaiKanougaku</t>
  </si>
  <si>
    <t>CLMZanShinkiKanoIjiritu</t>
  </si>
  <si>
    <t>CLMOrderList</t>
  </si>
  <si>
    <t>シート「設定」の色付きセルに接続先URL等必要な情報をテキストで記入する。</t>
    <rPh sb="4" eb="6">
      <t>セッテイ</t>
    </rPh>
    <rPh sb="8" eb="10">
      <t>イロツ</t>
    </rPh>
    <rPh sb="14" eb="17">
      <t>セツゾクサキ</t>
    </rPh>
    <rPh sb="20" eb="21">
      <t>トウ</t>
    </rPh>
    <rPh sb="21" eb="23">
      <t>ヒツヨウ</t>
    </rPh>
    <rPh sb="24" eb="26">
      <t>ジョウホウ</t>
    </rPh>
    <rPh sb="32" eb="34">
      <t>キニュウ</t>
    </rPh>
    <phoneticPr fontId="1"/>
  </si>
  <si>
    <t>シート「照会」「現物」「信用」の各ボタンを押して起動してください。</t>
    <rPh sb="4" eb="6">
      <t>ショウカイ</t>
    </rPh>
    <rPh sb="8" eb="10">
      <t>ゲンブツ</t>
    </rPh>
    <rPh sb="12" eb="14">
      <t>シンヨウ</t>
    </rPh>
    <rPh sb="16" eb="17">
      <t>カク</t>
    </rPh>
    <rPh sb="21" eb="22">
      <t>オ</t>
    </rPh>
    <rPh sb="24" eb="26">
      <t>キドウ</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</si>
  <si>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</si>
  <si>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e_api_注文訂正取消サンプル.xlsm</t>
  </si>
  <si>
    <t>e_api_共通</t>
  </si>
  <si>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</si>
  <si>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</si>
  <si>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</si>
  <si>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</si>
  <si>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</si>
  <si>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</si>
  <si>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</si>
  <si>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</si>
  <si>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</si>
  <si>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</si>
  <si>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</si>
  <si>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</si>
  <si>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</si>
  <si>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</si>
  <si>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</si>
  <si>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</si>
  <si>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</si>
  <si>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</si>
  <si>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</si>
  <si>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</si>
  <si>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</si>
  <si>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</si>
  <si>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 xml:space="preserve">- - - </t>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</si>
  <si>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</si>
  <si>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</si>
  <si>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</si>
  <si>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</si>
  <si>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</si>
  <si>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</si>
  <si>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</si>
  <si>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</si>
  <si>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</si>
  <si>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</si>
  <si>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</si>
  <si>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</si>
  <si>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</si>
  <si>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</si>
  <si>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</si>
  <si>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</si>
  <si>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</si>
  <si>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</si>
  <si>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本サンプルはｅ支店・ＡＰＩ の利用方法理解（学習）を主とし作成のため、不効率な部分があります。</t>
    <rPh sb="0" eb="1">
      <t>ホン</t>
    </rPh>
    <rPh sb="15" eb="17">
      <t>リヨウ</t>
    </rPh>
    <rPh sb="17" eb="19">
      <t>ホウホウ</t>
    </rPh>
    <rPh sb="19" eb="21">
      <t>リカイ</t>
    </rPh>
    <rPh sb="22" eb="24">
      <t>ガクシュウ</t>
    </rPh>
    <rPh sb="26" eb="27">
      <t>シュ</t>
    </rPh>
    <rPh sb="29" eb="31">
      <t>サクセイ</t>
    </rPh>
    <rPh sb="35" eb="38">
      <t>フコウリツ</t>
    </rPh>
    <rPh sb="39" eb="41">
      <t>ブブン</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</si>
  <si>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</si>
  <si>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</si>
  <si>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</si>
  <si>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</si>
  <si>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</si>
  <si>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このソフトウェアを使用したことによって生じたすべての障害・損害・不具合等に関して、私と私の関係者および私の所属するいかなる団体・組織とも、一切の責任を負いません。各自の責任においてご使用ください。</t>
  </si>
  <si>
    <t>７．ライセンス</t>
    <phoneticPr fontId="1"/>
  </si>
  <si>
    <t>シート「api_応答」に、APIへの送信テキストと返信データを出力します。</t>
  </si>
  <si>
    <t>８．責任</t>
    <rPh sb="2" eb="4">
      <t>セキニン</t>
    </rPh>
    <phoneticPr fontId="1"/>
  </si>
  <si>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</si>
  <si>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</si>
  <si>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</si>
  <si>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</si>
  <si>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</si>
  <si>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</si>
  <si>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</si>
  <si>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</si>
  <si>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</si>
  <si>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</si>
  <si>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</si>
  <si>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</si>
  <si>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</si>
  <si>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</si>
  <si>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</si>
  <si>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</si>
  <si>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</si>
  <si>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</si>
  <si>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</si>
  <si>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</si>
  <si>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</si>
  <si>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</si>
  <si>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</si>
  <si>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</si>
  <si>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</si>
  <si>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</si>
  <si>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</si>
  <si>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</si>
  <si>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</si>
  <si>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</si>
  <si>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</si>
  <si>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</si>
  <si>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</si>
  <si>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</si>
  <si>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</si>
  <si>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</si>
  <si>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</si>
  <si>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</si>
  <si>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</si>
  <si>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</si>
  <si>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</si>
  <si>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</si>
  <si>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</si>
  <si>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</si>
  <si>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</si>
  <si>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</si>
  <si>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</si>
  <si>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</si>
  <si>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</si>
  <si>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</si>
  <si>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</si>
  <si>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</si>
  <si>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</si>
  <si>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</si>
  <si>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</si>
  <si>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</si>
  <si>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</si>
  <si>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</si>
  <si>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</si>
  <si>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</si>
  <si>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</si>
  <si>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</si>
  <si>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</si>
  <si>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</si>
  <si>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</si>
  <si>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</si>
  <si>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</si>
  <si>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</si>
  <si>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</si>
  <si>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</si>
  <si>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</si>
  <si>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</si>
  <si>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</si>
  <si>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</si>
  <si>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</si>
  <si>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</si>
  <si>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</si>
  <si>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</si>
  <si>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</si>
  <si>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</si>
  <si>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</si>
  <si>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</si>
  <si>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</si>
  <si>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</si>
  <si>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</si>
  <si>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</si>
  <si>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</si>
  <si>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</si>
  <si>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</si>
  <si>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</si>
  <si>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</si>
  <si>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</si>
  <si>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</si>
  <si>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</si>
  <si>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</si>
  <si>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</si>
  <si>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</si>
  <si>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</si>
  <si>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</si>
  <si>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</si>
  <si>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</si>
  <si>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</si>
  <si>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</si>
  <si>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</si>
  <si>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</si>
  <si>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</si>
  <si>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</si>
  <si>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</si>
  <si>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</si>
  <si>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</si>
  <si>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</si>
  <si>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</si>
  <si>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</si>
  <si>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</si>
  <si>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</si>
  <si>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</si>
  <si>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</si>
  <si>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</si>
  <si>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</si>
  <si>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</si>
  <si>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</si>
  <si>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</si>
  <si>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</si>
  <si>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</si>
  <si>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</si>
  <si>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</si>
  <si>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</si>
  <si>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</si>
  <si>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</si>
  <si>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</si>
  <si>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</si>
  <si>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</si>
  <si>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</si>
  <si>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</si>
  <si>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</si>
  <si>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</si>
  <si>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</si>
  <si>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</si>
  <si>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</si>
  <si>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</si>
  <si>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</si>
  <si>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</si>
  <si>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</si>
  <si>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</si>
  <si>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</si>
  <si>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</si>
  <si>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</si>
  <si>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</si>
  <si>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p_err</t>
  </si>
  <si>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</si>
  <si>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</si>
  <si>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</si>
  <si>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</si>
  <si>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</si>
  <si>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</si>
  <si>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</si>
  <si>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</si>
  <si>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</si>
  <si>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現物・信用_訂正</t>
    <rPh sb="3" eb="5">
      <t>シンヨウ</t>
    </rPh>
    <phoneticPr fontId="1"/>
  </si>
  <si>
    <t>現物・信用_一括取消</t>
    <rPh sb="3" eb="5">
      <t>シンヨウ</t>
    </rPh>
    <phoneticPr fontId="1"/>
  </si>
  <si>
    <t>現物・信用_取消</t>
    <rPh sb="3" eb="5">
      <t>シンヨウ</t>
    </rPh>
    <phoneticPr fontId="1"/>
  </si>
  <si>
    <t>*</t>
    <phoneticPr fontId="1"/>
  </si>
  <si>
    <t>00</t>
    <phoneticPr fontId="1"/>
  </si>
  <si>
    <t>0</t>
    <phoneticPr fontId="1"/>
  </si>
  <si>
    <t>https://demo-kabuka.e-shiten.jp/e_api_v4r3/</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</si>
  <si>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</si>
  <si>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</si>
  <si>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</si>
  <si>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</si>
  <si>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</si>
  <si>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</si>
  <si>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</si>
  <si>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</si>
  <si>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只今の時間帯は受付できません</t>
  </si>
  <si>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</si>
  <si>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</si>
  <si>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</si>
  <si>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</si>
  <si>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</si>
  <si>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2022.12.03</t>
    <phoneticPr fontId="1"/>
  </si>
  <si>
    <t>ｅ支店・ＡＰＩの現行バージョンは v4r3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</si>
  <si>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シート「結果」に取得情報を適宜表示します。</t>
    <rPh sb="4" eb="6">
      <t>ケッカ</t>
    </rPh>
    <rPh sb="8" eb="12">
      <t>シュトクジョウホウ</t>
    </rPh>
    <rPh sb="13" eb="15">
      <t>テキギ</t>
    </rPh>
    <rPh sb="15" eb="17">
      <t>ヒョウジ</t>
    </rPh>
    <phoneticPr fontId="1"/>
  </si>
  <si>
    <t>YOUR_ID</t>
    <phoneticPr fontId="1"/>
  </si>
  <si>
    <t>YOUR_PASSWORD_1</t>
    <phoneticPr fontId="1"/>
  </si>
  <si>
    <t>YOUR_PASSWORD_2</t>
    <phoneticPr fontId="1"/>
  </si>
  <si>
    <t>（サンプルプログラムでは、5のみ利用可能）</t>
    <rPh sb="16" eb="20">
      <t>リヨウカノウ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</si>
</sst>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Red]\(0\)"/>
    <numFmt numFmtId="177" formatCode="#,##0_ "/>
  </numFmts>
  <fonts count="15"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44">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2" fillId="0" borderId="0" xfId="0" quotePrefix="1"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20" fontId="0" fillId="0" borderId="0" xfId="0" applyNumberFormat="1">
      <alignment vertical="center"/>
    </xf>
    <xf numFmtId="177" fontId="0" fillId="0" borderId="0" xfId="0" applyNumberFormat="1" applyFill="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Alignment="1">
      <alignment vertical="top"/>
    </xf>
    <xf numFmtId="0" fontId="0" fillId="0" borderId="0" xfId="0"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1743075</xdr:colOff>
          <xdr:row>2</xdr:row>
          <xdr:rowOff>438150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2</xdr:row>
          <xdr:rowOff>123825</xdr:rowOff>
        </xdr:from>
        <xdr:to>
          <xdr:col>17</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133350</xdr:rowOff>
        </xdr:from>
        <xdr:to>
          <xdr:col>21</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02"/>
  <sheetViews>
    <sheetView tabSelected="1" zoomScaleNormal="100" workbookViewId="0"/>
  </sheetViews>
  <sheetFormatPr defaultRowHeight="16.5" x14ac:dyDescent="0.4"/>
  <cols>
    <col min="1" max="1" width="4.625" style="1" customWidth="1"/>
    <col min="2" max="2" width="24.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49</v>
      </c>
      <c r="J1" s="1" t="s">
        <v>0</v>
      </c>
      <c r="K1" s="2" t="s">
        <v>53</v>
      </c>
      <c r="L1" s="1" t="s">
        <v>1</v>
      </c>
    </row>
    <row r="2" spans="1:12" x14ac:dyDescent="0.4">
      <c r="J2" s="1" t="s">
        <v>2</v>
      </c>
      <c r="K2" s="2" t="s">
        <v>394</v>
      </c>
      <c r="L2" s="1" t="s">
        <v>1</v>
      </c>
    </row>
    <row r="3" spans="1:12" x14ac:dyDescent="0.4">
      <c r="A3" s="1" t="s">
        <v>3</v>
      </c>
      <c r="K3" s="2"/>
    </row>
    <row r="4" spans="1:12" x14ac:dyDescent="0.4">
      <c r="B4" s="1" t="s">
        <v>4</v>
      </c>
      <c r="K4" s="2"/>
    </row>
    <row r="5" spans="1:12" x14ac:dyDescent="0.4">
      <c r="B5" s="1" t="s">
        <v>50</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162</v>
      </c>
      <c r="C14" s="1" t="s">
        <v>9</v>
      </c>
      <c r="D14" s="1" t="s">
        <v>10</v>
      </c>
      <c r="K14" s="2"/>
    </row>
    <row r="15" spans="1:12" x14ac:dyDescent="0.4">
      <c r="A15" s="1">
        <v>2</v>
      </c>
      <c r="B15" s="1" t="s">
        <v>11</v>
      </c>
      <c r="C15" s="1" t="s">
        <v>12</v>
      </c>
      <c r="D15" s="1" t="s">
        <v>13</v>
      </c>
      <c r="K15" s="2"/>
    </row>
    <row r="16" spans="1:12" x14ac:dyDescent="0.4">
      <c r="A16" s="1">
        <v>3</v>
      </c>
      <c r="B16" s="1" t="s">
        <v>163</v>
      </c>
      <c r="K16" s="2"/>
    </row>
    <row r="17" spans="1:11" x14ac:dyDescent="0.4">
      <c r="A17" s="1">
        <v>4</v>
      </c>
      <c r="B17" s="1" t="s">
        <v>183</v>
      </c>
      <c r="K17" s="2"/>
    </row>
    <row r="18" spans="1:11" x14ac:dyDescent="0.4">
      <c r="C18" s="21" t="s">
        <v>185</v>
      </c>
      <c r="D18" s="1" t="s">
        <v>184</v>
      </c>
      <c r="E18" s="1" t="s">
        <v>188</v>
      </c>
      <c r="K18" s="2"/>
    </row>
    <row r="19" spans="1:11" x14ac:dyDescent="0.4">
      <c r="C19" s="22" t="s">
        <v>186</v>
      </c>
      <c r="D19" s="1" t="s">
        <v>164</v>
      </c>
      <c r="E19" s="1" t="s">
        <v>189</v>
      </c>
      <c r="K19" s="2"/>
    </row>
    <row r="20" spans="1:11" x14ac:dyDescent="0.4">
      <c r="C20" s="22" t="s">
        <v>186</v>
      </c>
      <c r="D20" s="1" t="s">
        <v>165</v>
      </c>
      <c r="E20" s="1" t="s">
        <v>190</v>
      </c>
      <c r="K20" s="2"/>
    </row>
    <row r="21" spans="1:11" x14ac:dyDescent="0.4">
      <c r="B21" s="1">
        <v>1</v>
      </c>
      <c r="C21" s="21" t="s">
        <v>197</v>
      </c>
      <c r="D21" s="1" t="s">
        <v>169</v>
      </c>
      <c r="E21" s="1" t="s">
        <v>195</v>
      </c>
      <c r="K21" s="2"/>
    </row>
    <row r="22" spans="1:11" x14ac:dyDescent="0.4">
      <c r="B22" s="1">
        <v>2</v>
      </c>
      <c r="C22" s="21" t="s">
        <v>197</v>
      </c>
      <c r="D22" s="1" t="s">
        <v>88</v>
      </c>
      <c r="E22" s="1" t="s">
        <v>196</v>
      </c>
      <c r="K22" s="2"/>
    </row>
    <row r="23" spans="1:11" x14ac:dyDescent="0.4">
      <c r="B23" s="1">
        <v>3</v>
      </c>
      <c r="C23" s="21" t="s">
        <v>197</v>
      </c>
      <c r="D23" s="1" t="s">
        <v>170</v>
      </c>
      <c r="E23" s="1" t="s">
        <v>171</v>
      </c>
      <c r="K23" s="2"/>
    </row>
    <row r="24" spans="1:11" x14ac:dyDescent="0.4">
      <c r="B24" s="1">
        <v>4</v>
      </c>
      <c r="C24" s="21" t="s">
        <v>197</v>
      </c>
      <c r="D24" s="1" t="s">
        <v>172</v>
      </c>
      <c r="E24" s="1" t="s">
        <v>173</v>
      </c>
      <c r="K24" s="2"/>
    </row>
    <row r="25" spans="1:11" x14ac:dyDescent="0.4">
      <c r="B25" s="1">
        <v>5</v>
      </c>
      <c r="C25" s="21" t="s">
        <v>187</v>
      </c>
      <c r="D25" s="1" t="s">
        <v>167</v>
      </c>
      <c r="E25" s="1" t="s">
        <v>193</v>
      </c>
      <c r="K25" s="2"/>
    </row>
    <row r="26" spans="1:11" x14ac:dyDescent="0.4">
      <c r="B26" s="1">
        <v>6</v>
      </c>
      <c r="C26" s="21" t="s">
        <v>187</v>
      </c>
      <c r="D26" s="1" t="s">
        <v>118</v>
      </c>
      <c r="E26" s="1" t="s">
        <v>119</v>
      </c>
      <c r="K26" s="2"/>
    </row>
    <row r="27" spans="1:11" x14ac:dyDescent="0.4">
      <c r="B27" s="1">
        <v>7</v>
      </c>
      <c r="C27" s="21" t="s">
        <v>187</v>
      </c>
      <c r="D27" s="1" t="s">
        <v>166</v>
      </c>
      <c r="E27" s="1" t="s">
        <v>120</v>
      </c>
      <c r="K27" s="2"/>
    </row>
    <row r="28" spans="1:11" x14ac:dyDescent="0.4">
      <c r="B28" s="1">
        <v>8</v>
      </c>
      <c r="C28" s="21" t="s">
        <v>187</v>
      </c>
      <c r="D28" s="1" t="s">
        <v>121</v>
      </c>
      <c r="E28" s="1" t="s">
        <v>191</v>
      </c>
      <c r="K28" s="2"/>
    </row>
    <row r="29" spans="1:11" x14ac:dyDescent="0.4">
      <c r="B29" s="1">
        <v>9</v>
      </c>
      <c r="C29" s="21" t="s">
        <v>187</v>
      </c>
      <c r="D29" s="1" t="s">
        <v>168</v>
      </c>
      <c r="E29" s="1" t="s">
        <v>194</v>
      </c>
      <c r="K29" s="2"/>
    </row>
    <row r="30" spans="1:11" x14ac:dyDescent="0.4">
      <c r="B30" s="1">
        <v>10</v>
      </c>
      <c r="C30" s="21" t="s">
        <v>187</v>
      </c>
      <c r="D30" s="1" t="s">
        <v>122</v>
      </c>
      <c r="E30" s="1" t="s">
        <v>123</v>
      </c>
      <c r="K30" s="2"/>
    </row>
    <row r="31" spans="1:11" x14ac:dyDescent="0.4">
      <c r="B31" s="1">
        <v>11</v>
      </c>
      <c r="C31" s="21" t="s">
        <v>198</v>
      </c>
      <c r="D31" s="1" t="s">
        <v>127</v>
      </c>
      <c r="E31" s="1" t="s">
        <v>128</v>
      </c>
      <c r="K31" s="2"/>
    </row>
    <row r="32" spans="1:11" x14ac:dyDescent="0.4">
      <c r="B32" s="1">
        <v>12</v>
      </c>
      <c r="C32" s="21" t="s">
        <v>198</v>
      </c>
      <c r="D32" s="1" t="s">
        <v>175</v>
      </c>
      <c r="E32" s="1" t="s">
        <v>176</v>
      </c>
      <c r="K32" s="2"/>
    </row>
    <row r="33" spans="1:11" x14ac:dyDescent="0.4">
      <c r="B33" s="1">
        <v>13</v>
      </c>
      <c r="C33" s="21" t="s">
        <v>198</v>
      </c>
      <c r="D33" s="1" t="s">
        <v>174</v>
      </c>
      <c r="E33" s="1" t="s">
        <v>141</v>
      </c>
      <c r="K33" s="2"/>
    </row>
    <row r="34" spans="1:11" x14ac:dyDescent="0.4">
      <c r="B34" s="1">
        <v>14</v>
      </c>
      <c r="C34" s="21" t="s">
        <v>198</v>
      </c>
      <c r="D34" s="1" t="s">
        <v>177</v>
      </c>
      <c r="E34" s="1" t="s">
        <v>178</v>
      </c>
      <c r="K34" s="2"/>
    </row>
    <row r="35" spans="1:11" x14ac:dyDescent="0.4">
      <c r="B35" s="1">
        <v>15</v>
      </c>
      <c r="C35" s="21" t="s">
        <v>198</v>
      </c>
      <c r="D35" s="1" t="s">
        <v>179</v>
      </c>
      <c r="E35" s="1" t="s">
        <v>180</v>
      </c>
      <c r="K35" s="2"/>
    </row>
    <row r="36" spans="1:11" x14ac:dyDescent="0.4">
      <c r="B36" s="1">
        <v>16</v>
      </c>
      <c r="C36" s="21" t="s">
        <v>198</v>
      </c>
      <c r="D36" s="1" t="s">
        <v>199</v>
      </c>
      <c r="E36" s="1" t="s">
        <v>200</v>
      </c>
      <c r="K36" s="2"/>
    </row>
    <row r="37" spans="1:11" x14ac:dyDescent="0.4">
      <c r="B37" s="1">
        <v>17</v>
      </c>
      <c r="C37" s="21" t="s">
        <v>198</v>
      </c>
      <c r="D37" s="1" t="s">
        <v>181</v>
      </c>
      <c r="E37" s="1" t="s">
        <v>182</v>
      </c>
      <c r="K37" s="2"/>
    </row>
    <row r="38" spans="1:11" x14ac:dyDescent="0.4">
      <c r="B38" s="1">
        <v>18</v>
      </c>
      <c r="C38" s="21" t="s">
        <v>389</v>
      </c>
      <c r="D38" s="1" t="s">
        <v>390</v>
      </c>
      <c r="E38" s="1" t="s">
        <v>392</v>
      </c>
      <c r="K38" s="2"/>
    </row>
    <row r="39" spans="1:11" x14ac:dyDescent="0.4">
      <c r="B39" s="1">
        <v>19</v>
      </c>
      <c r="C39" s="21" t="s">
        <v>389</v>
      </c>
      <c r="D39" s="1" t="s">
        <v>391</v>
      </c>
      <c r="E39" s="1" t="s">
        <v>393</v>
      </c>
      <c r="K39" s="2"/>
    </row>
    <row r="40" spans="1:11" x14ac:dyDescent="0.4">
      <c r="K40" s="2"/>
    </row>
    <row r="41" spans="1:11" x14ac:dyDescent="0.4">
      <c r="K41" s="2"/>
    </row>
    <row r="42" spans="1:11" x14ac:dyDescent="0.4">
      <c r="A42" s="1" t="s">
        <v>14</v>
      </c>
      <c r="K42" s="2"/>
    </row>
    <row r="43" spans="1:11" x14ac:dyDescent="0.4">
      <c r="B43" s="1" t="s">
        <v>15</v>
      </c>
      <c r="K43" s="2"/>
    </row>
    <row r="44" spans="1:11" x14ac:dyDescent="0.4">
      <c r="B44" s="1" t="s">
        <v>51</v>
      </c>
      <c r="K44" s="2"/>
    </row>
    <row r="45" spans="1:11" x14ac:dyDescent="0.4">
      <c r="K45" s="2"/>
    </row>
    <row r="46" spans="1:11" x14ac:dyDescent="0.4">
      <c r="K46" s="2"/>
    </row>
    <row r="47" spans="1:11" x14ac:dyDescent="0.4">
      <c r="A47" s="1" t="s">
        <v>16</v>
      </c>
      <c r="K47" s="2"/>
    </row>
    <row r="48" spans="1:11" x14ac:dyDescent="0.4">
      <c r="A48" s="1">
        <v>1</v>
      </c>
      <c r="B48" s="1" t="s">
        <v>17</v>
      </c>
      <c r="K48" s="2"/>
    </row>
    <row r="49" spans="1:11" x14ac:dyDescent="0.4">
      <c r="A49" s="1">
        <v>2</v>
      </c>
      <c r="B49" s="1" t="s">
        <v>205</v>
      </c>
      <c r="K49" s="2"/>
    </row>
    <row r="50" spans="1:11" x14ac:dyDescent="0.4">
      <c r="A50" s="1">
        <v>3</v>
      </c>
      <c r="B50" s="1" t="s">
        <v>18</v>
      </c>
      <c r="K50" s="2"/>
    </row>
    <row r="51" spans="1:11" x14ac:dyDescent="0.4">
      <c r="A51" s="1">
        <v>4</v>
      </c>
      <c r="B51" s="1" t="s">
        <v>19</v>
      </c>
      <c r="K51" s="2"/>
    </row>
    <row r="52" spans="1:11" x14ac:dyDescent="0.4">
      <c r="A52" s="1">
        <v>5</v>
      </c>
      <c r="B52" s="1" t="s">
        <v>20</v>
      </c>
      <c r="K52" s="2"/>
    </row>
    <row r="53" spans="1:11" x14ac:dyDescent="0.4">
      <c r="B53" s="1" t="s">
        <v>21</v>
      </c>
      <c r="K53" s="2"/>
    </row>
    <row r="54" spans="1:11" x14ac:dyDescent="0.4">
      <c r="A54" s="1">
        <v>6</v>
      </c>
      <c r="B54" s="1" t="s">
        <v>22</v>
      </c>
      <c r="K54" s="2"/>
    </row>
    <row r="55" spans="1:11" x14ac:dyDescent="0.4">
      <c r="B55" s="1" t="s">
        <v>206</v>
      </c>
      <c r="K55" s="2"/>
    </row>
    <row r="56" spans="1:11" x14ac:dyDescent="0.4">
      <c r="B56" s="1" t="s">
        <v>23</v>
      </c>
      <c r="K56" s="2"/>
    </row>
    <row r="57" spans="1:11" x14ac:dyDescent="0.4">
      <c r="A57" s="1">
        <v>7</v>
      </c>
      <c r="B57" s="1" t="s">
        <v>24</v>
      </c>
      <c r="K57" s="2"/>
    </row>
    <row r="58" spans="1:11" x14ac:dyDescent="0.4">
      <c r="A58" s="1">
        <v>8</v>
      </c>
      <c r="B58" s="1" t="s">
        <v>52</v>
      </c>
      <c r="K58" s="2"/>
    </row>
    <row r="59" spans="1:11" x14ac:dyDescent="0.4">
      <c r="A59" s="1">
        <v>9</v>
      </c>
      <c r="B59" s="1" t="s">
        <v>395</v>
      </c>
      <c r="K59" s="2"/>
    </row>
    <row r="60" spans="1:11" x14ac:dyDescent="0.4">
      <c r="B60" s="1" t="s">
        <v>25</v>
      </c>
      <c r="K60" s="2"/>
    </row>
    <row r="61" spans="1:11" x14ac:dyDescent="0.4">
      <c r="B61" s="1" t="s">
        <v>26</v>
      </c>
      <c r="K61" s="2"/>
    </row>
    <row r="62" spans="1:11" x14ac:dyDescent="0.4">
      <c r="K62" s="2"/>
    </row>
    <row r="63" spans="1:11" x14ac:dyDescent="0.4">
      <c r="K63" s="2"/>
    </row>
    <row r="64" spans="1:11" x14ac:dyDescent="0.4">
      <c r="A64" s="2" t="s">
        <v>27</v>
      </c>
      <c r="K64" s="2"/>
    </row>
    <row r="65" spans="1:11" x14ac:dyDescent="0.4">
      <c r="A65" s="1">
        <v>1</v>
      </c>
      <c r="B65" s="1" t="s">
        <v>28</v>
      </c>
      <c r="K65" s="2"/>
    </row>
    <row r="66" spans="1:11" x14ac:dyDescent="0.4">
      <c r="A66" s="1">
        <v>2</v>
      </c>
      <c r="B66" s="1" t="s">
        <v>29</v>
      </c>
      <c r="K66" s="2"/>
    </row>
    <row r="67" spans="1:11" x14ac:dyDescent="0.4">
      <c r="A67" s="1">
        <v>3</v>
      </c>
      <c r="B67" s="1" t="s">
        <v>30</v>
      </c>
      <c r="K67" s="2"/>
    </row>
    <row r="68" spans="1:11" x14ac:dyDescent="0.4">
      <c r="B68" s="1" t="s">
        <v>31</v>
      </c>
      <c r="K68" s="2"/>
    </row>
    <row r="69" spans="1:11" x14ac:dyDescent="0.4">
      <c r="B69" s="1" t="s">
        <v>32</v>
      </c>
      <c r="K69" s="2"/>
    </row>
    <row r="70" spans="1:11" x14ac:dyDescent="0.4">
      <c r="B70" s="1" t="s">
        <v>33</v>
      </c>
      <c r="K70" s="2"/>
    </row>
    <row r="71" spans="1:11" x14ac:dyDescent="0.4">
      <c r="K71" s="2"/>
    </row>
    <row r="72" spans="1:11" x14ac:dyDescent="0.4">
      <c r="A72" s="1">
        <v>4</v>
      </c>
      <c r="B72" s="1" t="s">
        <v>207</v>
      </c>
      <c r="K72" s="2"/>
    </row>
    <row r="73" spans="1:11" x14ac:dyDescent="0.4">
      <c r="B73" s="1" t="s">
        <v>155</v>
      </c>
      <c r="C73" s="17"/>
      <c r="K73" s="2"/>
    </row>
    <row r="74" spans="1:11" ht="18.75" x14ac:dyDescent="0.4">
      <c r="B74" s="1" t="s">
        <v>208</v>
      </c>
      <c r="C74" s="8"/>
      <c r="K74" s="2"/>
    </row>
    <row r="75" spans="1:11" ht="18.75" x14ac:dyDescent="0.4">
      <c r="C75" s="24"/>
      <c r="K75" s="2"/>
    </row>
    <row r="76" spans="1:11" x14ac:dyDescent="0.4">
      <c r="A76" s="1">
        <v>5</v>
      </c>
      <c r="B76" s="1" t="s">
        <v>159</v>
      </c>
      <c r="K76" s="2"/>
    </row>
    <row r="77" spans="1:11" x14ac:dyDescent="0.4">
      <c r="K77" s="2"/>
    </row>
    <row r="78" spans="1:11" x14ac:dyDescent="0.4">
      <c r="A78" s="1">
        <v>6</v>
      </c>
      <c r="B78" s="1" t="s">
        <v>160</v>
      </c>
      <c r="K78" s="2"/>
    </row>
    <row r="79" spans="1:11" x14ac:dyDescent="0.4">
      <c r="B79" s="6" t="s">
        <v>161</v>
      </c>
      <c r="K79" s="2"/>
    </row>
    <row r="80" spans="1:11" x14ac:dyDescent="0.4">
      <c r="B80" s="6"/>
      <c r="K80" s="2"/>
    </row>
    <row r="81" spans="1:11" x14ac:dyDescent="0.4">
      <c r="A81" s="1">
        <v>7</v>
      </c>
      <c r="B81" s="23" t="s">
        <v>213</v>
      </c>
      <c r="K81" s="2"/>
    </row>
    <row r="82" spans="1:11" x14ac:dyDescent="0.4">
      <c r="K82" s="2"/>
    </row>
    <row r="83" spans="1:11" x14ac:dyDescent="0.4">
      <c r="A83" s="1">
        <v>8</v>
      </c>
      <c r="B83" s="1" t="s">
        <v>396</v>
      </c>
      <c r="K83" s="2"/>
    </row>
    <row r="84" spans="1:11" x14ac:dyDescent="0.4">
      <c r="K84" s="2"/>
    </row>
    <row r="85" spans="1:11" x14ac:dyDescent="0.4">
      <c r="B85" s="1" t="s">
        <v>34</v>
      </c>
      <c r="I85" s="2"/>
      <c r="K85" s="2"/>
    </row>
    <row r="86" spans="1:11" x14ac:dyDescent="0.4">
      <c r="K86" s="2"/>
    </row>
    <row r="87" spans="1:11" x14ac:dyDescent="0.4">
      <c r="I87" s="2"/>
      <c r="K87" s="2"/>
    </row>
    <row r="88" spans="1:11" x14ac:dyDescent="0.4">
      <c r="A88" s="1" t="s">
        <v>212</v>
      </c>
      <c r="K88" s="2"/>
    </row>
    <row r="89" spans="1:11" x14ac:dyDescent="0.4">
      <c r="B89" s="1" t="s">
        <v>210</v>
      </c>
      <c r="K89" s="2"/>
    </row>
    <row r="90" spans="1:11" x14ac:dyDescent="0.4">
      <c r="K90" s="2"/>
    </row>
    <row r="91" spans="1:11" x14ac:dyDescent="0.4">
      <c r="K91" s="2"/>
    </row>
    <row r="92" spans="1:11" x14ac:dyDescent="0.4">
      <c r="A92" s="1" t="s">
        <v>214</v>
      </c>
      <c r="K92" s="2"/>
    </row>
    <row r="93" spans="1:11" x14ac:dyDescent="0.4">
      <c r="A93" s="1" t="s">
        <v>209</v>
      </c>
      <c r="B93" s="6" t="s">
        <v>211</v>
      </c>
      <c r="K93" s="2"/>
    </row>
    <row r="94" spans="1:11" x14ac:dyDescent="0.4">
      <c r="K94" s="2"/>
    </row>
    <row r="95" spans="1:11" x14ac:dyDescent="0.4">
      <c r="K95" s="2"/>
    </row>
    <row r="96" spans="1:11" x14ac:dyDescent="0.4">
      <c r="A96" s="2"/>
      <c r="K96" s="2"/>
    </row>
    <row r="102" spans="2:2" x14ac:dyDescent="0.4">
      <c r="B102"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46"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2"/>
  <sheetViews>
    <sheetView workbookViewId="0"/>
  </sheetViews>
  <sheetFormatPr defaultRowHeight="18.75" x14ac:dyDescent="0.4"/>
  <cols>
    <col min="1" max="1" width="25" bestFit="1" customWidth="1"/>
    <col min="2" max="2" width="38.375" customWidth="1"/>
    <col min="4" max="5" width="10.5" bestFit="1"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row r="2" spans="1:9" ht="46.5" customHeight="1" x14ac:dyDescent="0.4"/>
    <row r="3" spans="1:9" ht="46.5" customHeight="1" x14ac:dyDescent="0.4">
      <c r="A3" t="s">
        <v>43</v>
      </c>
      <c r="B3" t="s">
        <v>42</v>
      </c>
      <c r="C3" t="s">
        <v>44</v>
      </c>
    </row>
    <row r="4" spans="1:9" x14ac:dyDescent="0.4">
      <c r="A4" t="s">
        <v>38</v>
      </c>
      <c r="B4" s="3" t="s">
        <v>379</v>
      </c>
      <c r="C4" t="s">
        <v>41</v>
      </c>
      <c r="G4" s="7"/>
      <c r="H4" s="7"/>
      <c r="I4" s="7"/>
    </row>
    <row r="5" spans="1:9" x14ac:dyDescent="0.4">
      <c r="A5" s="1" t="s">
        <v>35</v>
      </c>
      <c r="B5" s="3" t="s">
        <v>397</v>
      </c>
      <c r="C5" t="s">
        <v>41</v>
      </c>
      <c r="D5" s="7"/>
      <c r="G5" s="7"/>
      <c r="H5" s="7"/>
      <c r="I5" s="7"/>
    </row>
    <row r="6" spans="1:9" x14ac:dyDescent="0.4">
      <c r="A6" s="1" t="s">
        <v>36</v>
      </c>
      <c r="B6" s="3" t="s">
        <v>398</v>
      </c>
      <c r="C6" t="s">
        <v>41</v>
      </c>
      <c r="I6" s="7"/>
    </row>
    <row r="7" spans="1:9" x14ac:dyDescent="0.4">
      <c r="A7" s="1" t="s">
        <v>37</v>
      </c>
      <c r="B7" s="3" t="s">
        <v>399</v>
      </c>
      <c r="C7" t="s">
        <v>41</v>
      </c>
      <c r="H7" s="7"/>
      <c r="I7" s="7"/>
    </row>
    <row r="8" spans="1:9" x14ac:dyDescent="0.4">
      <c r="A8" s="1" t="s">
        <v>40</v>
      </c>
      <c r="B8" s="4">
        <v>5</v>
      </c>
      <c r="C8" t="s">
        <v>215</v>
      </c>
    </row>
    <row r="9" spans="1:9" x14ac:dyDescent="0.4">
      <c r="A9" s="1"/>
      <c r="B9" s="5"/>
      <c r="C9" t="s">
        <v>400</v>
      </c>
    </row>
    <row r="10" spans="1:9" x14ac:dyDescent="0.4">
      <c r="A10" s="1"/>
      <c r="B10" s="5"/>
    </row>
    <row r="11" spans="1:9" x14ac:dyDescent="0.4">
      <c r="A11" s="1"/>
      <c r="B11" s="5"/>
    </row>
    <row r="12" spans="1:9" x14ac:dyDescent="0.4">
      <c r="A12" s="1"/>
      <c r="B12" s="5"/>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0"/>
  <sheetViews>
    <sheetView workbookViewId="0"/>
  </sheetViews>
  <sheetFormatPr defaultRowHeight="18.75" x14ac:dyDescent="0.4"/>
  <cols>
    <col min="1" max="1" width="19.875" bestFit="1" customWidth="1"/>
    <col min="2" max="2" width="27.25" customWidth="1"/>
    <col min="3" max="3" width="13.875" customWidth="1"/>
    <col min="6" max="6" width="23.5" customWidth="1"/>
    <col min="7" max="7" width="16.875" customWidth="1"/>
    <col min="10" max="10" width="23.5" customWidth="1"/>
    <col min="13" max="13" width="11.875" customWidth="1"/>
    <col min="14" max="14" width="24.125" customWidth="1"/>
    <col min="15" max="15" width="22.875" customWidth="1"/>
  </cols>
  <sheetData>
    <row r="1" spans="1:15" s="11" customFormat="1" ht="21" customHeight="1" x14ac:dyDescent="0.4">
      <c r="A1" s="11" t="s">
        <v>85</v>
      </c>
      <c r="B1" s="11" t="s">
        <v>87</v>
      </c>
      <c r="F1" s="11" t="s">
        <v>88</v>
      </c>
      <c r="J1" s="11" t="s">
        <v>89</v>
      </c>
      <c r="N1" s="11" t="s">
        <v>97</v>
      </c>
    </row>
    <row r="2" spans="1:15" s="11" customFormat="1" ht="21" customHeight="1" x14ac:dyDescent="0.4">
      <c r="A2" s="11" t="s">
        <v>86</v>
      </c>
      <c r="B2" s="15" t="s">
        <v>195</v>
      </c>
      <c r="F2" s="15" t="s">
        <v>196</v>
      </c>
      <c r="J2" s="15" t="s">
        <v>90</v>
      </c>
      <c r="N2" s="15" t="s">
        <v>91</v>
      </c>
    </row>
    <row r="3" spans="1:15" ht="48" customHeight="1" x14ac:dyDescent="0.4"/>
    <row r="5" spans="1:15" x14ac:dyDescent="0.4">
      <c r="M5" t="s">
        <v>43</v>
      </c>
      <c r="N5" t="s">
        <v>80</v>
      </c>
      <c r="O5" t="s">
        <v>44</v>
      </c>
    </row>
    <row r="6" spans="1:15" x14ac:dyDescent="0.4">
      <c r="M6" t="s">
        <v>95</v>
      </c>
      <c r="N6" s="3">
        <v>2000008</v>
      </c>
      <c r="O6" t="s">
        <v>93</v>
      </c>
    </row>
    <row r="7" spans="1:15" x14ac:dyDescent="0.4">
      <c r="M7" t="s">
        <v>96</v>
      </c>
      <c r="N7" s="3">
        <v>20221202</v>
      </c>
      <c r="O7" t="s">
        <v>94</v>
      </c>
    </row>
    <row r="14" spans="1:15" x14ac:dyDescent="0.4">
      <c r="A14" t="s">
        <v>71</v>
      </c>
      <c r="E14" t="s">
        <v>71</v>
      </c>
      <c r="I14" t="s">
        <v>71</v>
      </c>
      <c r="M14" t="s">
        <v>71</v>
      </c>
    </row>
    <row r="15" spans="1:15" x14ac:dyDescent="0.4">
      <c r="A15" t="s">
        <v>79</v>
      </c>
      <c r="B15" t="b">
        <v>1</v>
      </c>
      <c r="E15" t="s">
        <v>79</v>
      </c>
      <c r="F15" t="b">
        <v>1</v>
      </c>
      <c r="I15" t="s">
        <v>79</v>
      </c>
      <c r="J15" t="b">
        <v>1</v>
      </c>
      <c r="M15" t="s">
        <v>79</v>
      </c>
      <c r="N15" t="b">
        <v>1</v>
      </c>
    </row>
    <row r="16" spans="1:15" x14ac:dyDescent="0.4">
      <c r="A16" t="s">
        <v>78</v>
      </c>
      <c r="B16" t="b">
        <v>1</v>
      </c>
      <c r="E16" t="s">
        <v>78</v>
      </c>
      <c r="F16" t="b">
        <v>1</v>
      </c>
      <c r="I16" t="s">
        <v>78</v>
      </c>
      <c r="J16" t="b">
        <v>1</v>
      </c>
      <c r="M16" t="s">
        <v>78</v>
      </c>
      <c r="N16" t="b">
        <v>1</v>
      </c>
    </row>
    <row r="17" spans="1:14" x14ac:dyDescent="0.4">
      <c r="A17" t="s">
        <v>46</v>
      </c>
      <c r="B17" s="8" t="s">
        <v>156</v>
      </c>
      <c r="E17" t="s">
        <v>46</v>
      </c>
      <c r="F17" s="8" t="s">
        <v>157</v>
      </c>
      <c r="I17" t="s">
        <v>46</v>
      </c>
      <c r="J17" s="8" t="s">
        <v>158</v>
      </c>
      <c r="M17" t="s">
        <v>46</v>
      </c>
      <c r="N17" s="8" t="s">
        <v>92</v>
      </c>
    </row>
    <row r="18" spans="1:14" x14ac:dyDescent="0.4">
      <c r="A18" t="s">
        <v>45</v>
      </c>
      <c r="B18" s="13">
        <v>0</v>
      </c>
      <c r="E18" t="s">
        <v>45</v>
      </c>
      <c r="F18" s="13">
        <v>0</v>
      </c>
      <c r="I18" t="s">
        <v>45</v>
      </c>
      <c r="J18" s="13">
        <v>0</v>
      </c>
      <c r="M18" t="s">
        <v>45</v>
      </c>
      <c r="N18" s="13">
        <v>0</v>
      </c>
    </row>
    <row r="19" spans="1:14" x14ac:dyDescent="0.4">
      <c r="A19" t="s">
        <v>47</v>
      </c>
      <c r="B19" s="14">
        <v>0</v>
      </c>
      <c r="E19" t="s">
        <v>47</v>
      </c>
      <c r="F19" s="14">
        <v>0</v>
      </c>
      <c r="I19" t="s">
        <v>47</v>
      </c>
      <c r="J19" s="14">
        <v>0</v>
      </c>
      <c r="M19" t="s">
        <v>47</v>
      </c>
      <c r="N19" s="14">
        <v>0</v>
      </c>
    </row>
    <row r="20" spans="1:14" x14ac:dyDescent="0.4">
      <c r="A20" t="s">
        <v>48</v>
      </c>
      <c r="B20" s="14"/>
      <c r="E20" t="s">
        <v>48</v>
      </c>
      <c r="F20" s="14"/>
      <c r="I20" t="s">
        <v>48</v>
      </c>
      <c r="J20" s="14"/>
      <c r="M20" t="s">
        <v>48</v>
      </c>
      <c r="N20" s="14"/>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1"/>
  <sheetViews>
    <sheetView workbookViewId="0"/>
  </sheetViews>
  <sheetFormatPr defaultRowHeight="18.75" x14ac:dyDescent="0.4"/>
  <cols>
    <col min="1" max="1" width="14.875" customWidth="1"/>
    <col min="2" max="2" width="24.5" customWidth="1"/>
    <col min="3" max="3" width="51.875" customWidth="1"/>
    <col min="4" max="4" width="5.25" customWidth="1"/>
    <col min="5" max="5" width="13.875" customWidth="1"/>
    <col min="6" max="6" width="24.125" customWidth="1"/>
    <col min="7" max="7" width="21.375" customWidth="1"/>
    <col min="8" max="8" width="5.875" customWidth="1"/>
    <col min="9" max="9" width="12.125" customWidth="1"/>
    <col min="10" max="10" width="25.125" customWidth="1"/>
    <col min="13" max="13" width="25" customWidth="1"/>
    <col min="14" max="14" width="25.75" customWidth="1"/>
    <col min="15" max="15" width="43.25" customWidth="1"/>
    <col min="16" max="16" width="15.625" customWidth="1"/>
    <col min="17" max="17" width="14.25" bestFit="1" customWidth="1"/>
    <col min="18" max="18" width="26.625" customWidth="1"/>
    <col min="19" max="19" width="26.25" customWidth="1"/>
    <col min="21" max="21" width="16.375" customWidth="1"/>
    <col min="22" max="22" width="25.75" customWidth="1"/>
    <col min="23" max="23" width="37.625" customWidth="1"/>
  </cols>
  <sheetData>
    <row r="1" spans="1:23" s="16" customFormat="1" ht="17.25" x14ac:dyDescent="0.4">
      <c r="A1" s="16" t="s">
        <v>85</v>
      </c>
      <c r="B1" s="12" t="s">
        <v>116</v>
      </c>
      <c r="F1" s="16" t="s">
        <v>375</v>
      </c>
      <c r="J1" s="16" t="s">
        <v>374</v>
      </c>
      <c r="N1" s="16" t="s">
        <v>373</v>
      </c>
      <c r="R1" s="16" t="s">
        <v>114</v>
      </c>
      <c r="V1" s="16" t="s">
        <v>122</v>
      </c>
    </row>
    <row r="2" spans="1:23" x14ac:dyDescent="0.4">
      <c r="A2" s="11" t="s">
        <v>86</v>
      </c>
      <c r="B2" s="12" t="s">
        <v>117</v>
      </c>
      <c r="C2" s="12"/>
      <c r="D2" s="12"/>
      <c r="E2" s="12"/>
      <c r="F2" s="12" t="s">
        <v>119</v>
      </c>
      <c r="G2" s="12"/>
      <c r="H2" s="12"/>
      <c r="I2" s="12"/>
      <c r="J2" s="12" t="s">
        <v>120</v>
      </c>
      <c r="M2" s="12"/>
      <c r="N2" s="12" t="s">
        <v>192</v>
      </c>
      <c r="O2" s="12"/>
      <c r="P2" s="12"/>
      <c r="Q2" s="11"/>
      <c r="R2" s="15" t="s">
        <v>194</v>
      </c>
      <c r="S2" s="11"/>
      <c r="U2" s="12"/>
      <c r="V2" s="12" t="s">
        <v>123</v>
      </c>
    </row>
    <row r="3" spans="1:23" ht="40.5" customHeight="1" x14ac:dyDescent="0.4"/>
    <row r="4" spans="1:23" x14ac:dyDescent="0.4">
      <c r="A4" s="9" t="s">
        <v>67</v>
      </c>
      <c r="E4" s="9" t="s">
        <v>69</v>
      </c>
      <c r="I4" s="9" t="s">
        <v>72</v>
      </c>
      <c r="M4" s="9" t="s">
        <v>67</v>
      </c>
      <c r="U4" s="9" t="s">
        <v>67</v>
      </c>
    </row>
    <row r="5" spans="1:23" x14ac:dyDescent="0.4">
      <c r="A5" t="s">
        <v>43</v>
      </c>
      <c r="B5" t="s">
        <v>80</v>
      </c>
      <c r="C5" t="s">
        <v>44</v>
      </c>
      <c r="E5" t="s">
        <v>43</v>
      </c>
      <c r="F5" t="s">
        <v>42</v>
      </c>
      <c r="G5" t="s">
        <v>44</v>
      </c>
      <c r="J5" t="s">
        <v>126</v>
      </c>
      <c r="M5" t="s">
        <v>43</v>
      </c>
      <c r="N5" t="s">
        <v>80</v>
      </c>
      <c r="O5" t="s">
        <v>44</v>
      </c>
      <c r="Q5" t="s">
        <v>113</v>
      </c>
      <c r="U5" t="s">
        <v>43</v>
      </c>
      <c r="V5" t="s">
        <v>80</v>
      </c>
    </row>
    <row r="6" spans="1:23" x14ac:dyDescent="0.4">
      <c r="A6" s="7" t="s">
        <v>58</v>
      </c>
      <c r="B6" s="3">
        <v>9861</v>
      </c>
      <c r="C6" s="7" t="s">
        <v>54</v>
      </c>
      <c r="D6" s="7"/>
      <c r="E6" t="s">
        <v>63</v>
      </c>
      <c r="F6" s="3">
        <v>1000024</v>
      </c>
      <c r="M6" s="7" t="s">
        <v>98</v>
      </c>
      <c r="N6" s="3">
        <v>2000001</v>
      </c>
      <c r="O6" t="s">
        <v>105</v>
      </c>
      <c r="Q6" t="s">
        <v>113</v>
      </c>
      <c r="U6" s="7" t="s">
        <v>58</v>
      </c>
      <c r="V6" s="3">
        <v>9861</v>
      </c>
      <c r="W6" s="7" t="s">
        <v>54</v>
      </c>
    </row>
    <row r="7" spans="1:23" x14ac:dyDescent="0.4">
      <c r="A7" s="7" t="s">
        <v>59</v>
      </c>
      <c r="B7" s="3" t="s">
        <v>62</v>
      </c>
      <c r="C7" s="7" t="s">
        <v>55</v>
      </c>
      <c r="D7" s="7"/>
      <c r="E7" t="s">
        <v>39</v>
      </c>
      <c r="F7" s="3">
        <v>20221201</v>
      </c>
      <c r="M7" s="7" t="s">
        <v>99</v>
      </c>
      <c r="N7" s="3">
        <v>20221202</v>
      </c>
      <c r="O7" t="s">
        <v>104</v>
      </c>
      <c r="Q7" t="s">
        <v>113</v>
      </c>
      <c r="U7" s="7" t="s">
        <v>59</v>
      </c>
      <c r="V7" s="3" t="s">
        <v>62</v>
      </c>
      <c r="W7" s="7" t="s">
        <v>55</v>
      </c>
    </row>
    <row r="8" spans="1:23" x14ac:dyDescent="0.4">
      <c r="A8" t="s">
        <v>60</v>
      </c>
      <c r="B8" s="4">
        <v>0</v>
      </c>
      <c r="C8" t="s">
        <v>56</v>
      </c>
      <c r="F8" s="11" t="s">
        <v>68</v>
      </c>
      <c r="M8" t="s">
        <v>100</v>
      </c>
      <c r="N8" s="4" t="s">
        <v>107</v>
      </c>
      <c r="O8" t="s">
        <v>101</v>
      </c>
      <c r="Q8" t="s">
        <v>113</v>
      </c>
      <c r="U8" t="s">
        <v>60</v>
      </c>
      <c r="V8" s="4">
        <v>0</v>
      </c>
      <c r="W8" t="s">
        <v>56</v>
      </c>
    </row>
    <row r="9" spans="1:23" x14ac:dyDescent="0.4">
      <c r="A9" t="s">
        <v>61</v>
      </c>
      <c r="B9" s="4">
        <v>2395</v>
      </c>
      <c r="C9" t="s">
        <v>57</v>
      </c>
      <c r="E9" t="s">
        <v>70</v>
      </c>
      <c r="F9" t="s">
        <v>124</v>
      </c>
      <c r="M9" t="s">
        <v>102</v>
      </c>
      <c r="N9" s="4">
        <v>2345</v>
      </c>
      <c r="O9" t="s">
        <v>103</v>
      </c>
      <c r="Q9" t="s">
        <v>113</v>
      </c>
      <c r="U9" t="s">
        <v>61</v>
      </c>
      <c r="V9" s="4">
        <v>2370</v>
      </c>
      <c r="W9" t="s">
        <v>57</v>
      </c>
    </row>
    <row r="10" spans="1:23" x14ac:dyDescent="0.4">
      <c r="A10" t="s">
        <v>81</v>
      </c>
      <c r="B10" s="4">
        <v>500</v>
      </c>
      <c r="M10" t="s">
        <v>106</v>
      </c>
      <c r="N10" s="4" t="s">
        <v>376</v>
      </c>
      <c r="O10" t="s">
        <v>112</v>
      </c>
      <c r="Q10" t="s">
        <v>113</v>
      </c>
      <c r="U10" t="s">
        <v>81</v>
      </c>
      <c r="V10" s="4">
        <v>200</v>
      </c>
    </row>
    <row r="11" spans="1:23" x14ac:dyDescent="0.4">
      <c r="N11" s="11" t="s">
        <v>111</v>
      </c>
      <c r="Q11" t="s">
        <v>113</v>
      </c>
    </row>
    <row r="12" spans="1:23" x14ac:dyDescent="0.4">
      <c r="N12" t="s">
        <v>216</v>
      </c>
    </row>
    <row r="13" spans="1:23" x14ac:dyDescent="0.4">
      <c r="N13" t="s">
        <v>125</v>
      </c>
    </row>
    <row r="14" spans="1:23" x14ac:dyDescent="0.4">
      <c r="A14" t="s">
        <v>64</v>
      </c>
      <c r="E14" t="s">
        <v>71</v>
      </c>
      <c r="I14" t="s">
        <v>71</v>
      </c>
      <c r="M14" t="s">
        <v>71</v>
      </c>
      <c r="Q14" t="s">
        <v>71</v>
      </c>
      <c r="U14" t="s">
        <v>64</v>
      </c>
    </row>
    <row r="15" spans="1:23" x14ac:dyDescent="0.4">
      <c r="A15" t="s">
        <v>79</v>
      </c>
      <c r="B15" t="b">
        <v>1</v>
      </c>
      <c r="E15" t="s">
        <v>79</v>
      </c>
      <c r="F15" t="b">
        <v>1</v>
      </c>
      <c r="I15" t="s">
        <v>79</v>
      </c>
      <c r="J15" t="b">
        <v>1</v>
      </c>
      <c r="M15" t="s">
        <v>79</v>
      </c>
      <c r="N15" t="b">
        <v>1</v>
      </c>
      <c r="Q15" t="s">
        <v>79</v>
      </c>
      <c r="R15" t="b">
        <v>1</v>
      </c>
      <c r="U15" t="s">
        <v>79</v>
      </c>
      <c r="V15" t="b">
        <v>1</v>
      </c>
    </row>
    <row r="16" spans="1:23" x14ac:dyDescent="0.4">
      <c r="A16" t="s">
        <v>78</v>
      </c>
      <c r="B16" t="b">
        <v>1</v>
      </c>
      <c r="E16" t="s">
        <v>78</v>
      </c>
      <c r="F16" t="b">
        <v>1</v>
      </c>
      <c r="I16" t="s">
        <v>78</v>
      </c>
      <c r="J16" t="b">
        <v>1</v>
      </c>
      <c r="M16" t="s">
        <v>78</v>
      </c>
      <c r="N16" t="b">
        <v>1</v>
      </c>
      <c r="Q16" t="s">
        <v>78</v>
      </c>
      <c r="R16" t="b">
        <v>1</v>
      </c>
      <c r="U16" t="s">
        <v>78</v>
      </c>
      <c r="V16" t="b">
        <v>1</v>
      </c>
    </row>
    <row r="17" spans="1:22" x14ac:dyDescent="0.4">
      <c r="A17" t="s">
        <v>46</v>
      </c>
      <c r="B17" s="8" t="s">
        <v>84</v>
      </c>
      <c r="E17" t="s">
        <v>46</v>
      </c>
      <c r="F17" s="8" t="s">
        <v>82</v>
      </c>
      <c r="I17" t="s">
        <v>46</v>
      </c>
      <c r="J17" s="8" t="s">
        <v>83</v>
      </c>
      <c r="M17" t="s">
        <v>46</v>
      </c>
      <c r="N17" s="8" t="s">
        <v>108</v>
      </c>
      <c r="Q17" t="s">
        <v>46</v>
      </c>
      <c r="R17" s="8" t="s">
        <v>115</v>
      </c>
      <c r="U17" t="s">
        <v>46</v>
      </c>
      <c r="V17" s="8" t="s">
        <v>84</v>
      </c>
    </row>
    <row r="18" spans="1:22" x14ac:dyDescent="0.4">
      <c r="A18" t="s">
        <v>65</v>
      </c>
      <c r="B18" s="8">
        <v>0</v>
      </c>
      <c r="C18" t="s">
        <v>66</v>
      </c>
      <c r="E18" t="s">
        <v>45</v>
      </c>
      <c r="F18" s="8">
        <v>0</v>
      </c>
      <c r="I18" t="s">
        <v>45</v>
      </c>
      <c r="J18" s="8">
        <v>0</v>
      </c>
      <c r="M18" t="s">
        <v>45</v>
      </c>
      <c r="N18" s="8">
        <v>0</v>
      </c>
      <c r="O18" t="s">
        <v>66</v>
      </c>
      <c r="Q18" t="s">
        <v>45</v>
      </c>
      <c r="R18" s="13">
        <v>0</v>
      </c>
      <c r="U18" t="s">
        <v>65</v>
      </c>
      <c r="V18" s="8">
        <v>0</v>
      </c>
    </row>
    <row r="19" spans="1:22" x14ac:dyDescent="0.4">
      <c r="A19" t="s">
        <v>48</v>
      </c>
      <c r="B19" s="8"/>
      <c r="E19" t="s">
        <v>47</v>
      </c>
      <c r="F19" s="8">
        <v>0</v>
      </c>
      <c r="I19" t="s">
        <v>47</v>
      </c>
      <c r="J19" s="8">
        <v>0</v>
      </c>
      <c r="M19" t="s">
        <v>47</v>
      </c>
      <c r="N19" s="8">
        <v>0</v>
      </c>
      <c r="Q19" t="s">
        <v>47</v>
      </c>
      <c r="R19" s="14">
        <v>0</v>
      </c>
      <c r="U19" t="s">
        <v>48</v>
      </c>
      <c r="V19" s="8"/>
    </row>
    <row r="20" spans="1:22" x14ac:dyDescent="0.4">
      <c r="A20" t="s">
        <v>109</v>
      </c>
      <c r="B20" s="8">
        <v>1000028</v>
      </c>
      <c r="E20" t="s">
        <v>48</v>
      </c>
      <c r="F20" s="8"/>
      <c r="I20" t="s">
        <v>48</v>
      </c>
      <c r="J20" s="8"/>
      <c r="M20" t="s">
        <v>48</v>
      </c>
      <c r="N20" s="8"/>
      <c r="Q20" t="s">
        <v>48</v>
      </c>
      <c r="R20" s="14"/>
      <c r="U20" t="s">
        <v>109</v>
      </c>
      <c r="V20" s="8">
        <v>1000030</v>
      </c>
    </row>
    <row r="21" spans="1:22" x14ac:dyDescent="0.4">
      <c r="A21" t="s">
        <v>110</v>
      </c>
      <c r="B21" s="8">
        <v>20221201</v>
      </c>
      <c r="U21" t="s">
        <v>110</v>
      </c>
      <c r="V21" s="8">
        <v>20221201</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_gen_buy">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4" r:id="rId4" name="Button 2">
              <controlPr defaultSize="0" print="0" autoFill="0" autoPict="0" macro="[0]!cancel_order">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8195" r:id="rId5" name="Button 3">
              <controlPr defaultSize="0" print="0" autoFill="0" autoPict="0" macro="[0]!cancel_all_order">
                <anchor moveWithCells="1" sizeWithCells="1">
                  <from>
                    <xdr:col>9</xdr:col>
                    <xdr:colOff>161925</xdr:colOff>
                    <xdr:row>2</xdr:row>
                    <xdr:rowOff>133350</xdr:rowOff>
                  </from>
                  <to>
                    <xdr:col>9</xdr:col>
                    <xdr:colOff>1743075</xdr:colOff>
                    <xdr:row>2</xdr:row>
                    <xdr:rowOff>438150</xdr:rowOff>
                  </to>
                </anchor>
              </controlPr>
            </control>
          </mc:Choice>
        </mc:AlternateContent>
        <mc:AlternateContent xmlns:mc="http://schemas.openxmlformats.org/markup-compatibility/2006">
          <mc:Choice Requires="x14">
            <control shapeId="8196" r:id="rId6" name="Button 4">
              <controlPr defaultSize="0" print="0" autoFill="0" autoPict="0" macro="[0]!correct_order">
                <anchor moveWithCells="1" sizeWithCells="1">
                  <from>
                    <xdr:col>13</xdr:col>
                    <xdr:colOff>161925</xdr:colOff>
                    <xdr:row>2</xdr:row>
                    <xdr:rowOff>133350</xdr:rowOff>
                  </from>
                  <to>
                    <xdr:col>13</xdr:col>
                    <xdr:colOff>1743075</xdr:colOff>
                    <xdr:row>2</xdr:row>
                    <xdr:rowOff>438150</xdr:rowOff>
                  </to>
                </anchor>
              </controlPr>
            </control>
          </mc:Choice>
        </mc:AlternateContent>
        <mc:AlternateContent xmlns:mc="http://schemas.openxmlformats.org/markup-compatibility/2006">
          <mc:Choice Requires="x14">
            <control shapeId="8197" r:id="rId7" name="Button 5">
              <controlPr defaultSize="0" print="0" autoFill="0" autoPict="0" macro="[0]!get_CLMGenbutuKabuList">
                <anchor moveWithCells="1" sizeWithCells="1">
                  <from>
                    <xdr:col>17</xdr:col>
                    <xdr:colOff>142875</xdr:colOff>
                    <xdr:row>2</xdr:row>
                    <xdr:rowOff>123825</xdr:rowOff>
                  </from>
                  <to>
                    <xdr:col>17</xdr:col>
                    <xdr:colOff>1724025</xdr:colOff>
                    <xdr:row>2</xdr:row>
                    <xdr:rowOff>457200</xdr:rowOff>
                  </to>
                </anchor>
              </controlPr>
            </control>
          </mc:Choice>
        </mc:AlternateContent>
        <mc:AlternateContent xmlns:mc="http://schemas.openxmlformats.org/markup-compatibility/2006">
          <mc:Choice Requires="x14">
            <control shapeId="8198" r:id="rId8" name="Button 6">
              <controlPr defaultSize="0" print="0" autoFill="0" autoPict="0" macro="[0]!order_gen_sell">
                <anchor moveWithCells="1" sizeWithCells="1">
                  <from>
                    <xdr:col>21</xdr:col>
                    <xdr:colOff>161925</xdr:colOff>
                    <xdr:row>2</xdr:row>
                    <xdr:rowOff>133350</xdr:rowOff>
                  </from>
                  <to>
                    <xdr:col>21</xdr:col>
                    <xdr:colOff>1743075</xdr:colOff>
                    <xdr:row>2</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1"/>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85</v>
      </c>
      <c r="B1" s="16" t="s">
        <v>127</v>
      </c>
      <c r="F1" s="16" t="s">
        <v>134</v>
      </c>
      <c r="J1" s="16" t="s">
        <v>140</v>
      </c>
      <c r="N1" s="16" t="s">
        <v>136</v>
      </c>
      <c r="R1" s="16" t="s">
        <v>138</v>
      </c>
      <c r="V1" s="16" t="s">
        <v>202</v>
      </c>
      <c r="AB1" s="16" t="s">
        <v>203</v>
      </c>
    </row>
    <row r="2" spans="1:30" s="16" customFormat="1" ht="46.5" customHeight="1" x14ac:dyDescent="0.4">
      <c r="A2" s="16" t="s">
        <v>86</v>
      </c>
      <c r="B2" s="12" t="s">
        <v>128</v>
      </c>
      <c r="F2" s="12" t="s">
        <v>135</v>
      </c>
      <c r="I2" s="11"/>
      <c r="J2" s="15" t="s">
        <v>141</v>
      </c>
      <c r="K2" s="11"/>
      <c r="N2" s="12" t="s">
        <v>137</v>
      </c>
      <c r="R2" s="12" t="s">
        <v>139</v>
      </c>
      <c r="V2" s="12" t="s">
        <v>201</v>
      </c>
      <c r="AB2" s="12" t="s">
        <v>182</v>
      </c>
    </row>
    <row r="3" spans="1:30" ht="51.75" customHeight="1" x14ac:dyDescent="0.4"/>
    <row r="4" spans="1:30" x14ac:dyDescent="0.4">
      <c r="A4" s="9" t="s">
        <v>67</v>
      </c>
      <c r="E4" s="9" t="s">
        <v>67</v>
      </c>
      <c r="M4" s="9" t="s">
        <v>67</v>
      </c>
      <c r="Q4" s="9" t="s">
        <v>67</v>
      </c>
      <c r="U4" s="9" t="s">
        <v>67</v>
      </c>
      <c r="AA4" s="9" t="s">
        <v>67</v>
      </c>
    </row>
    <row r="5" spans="1:30" x14ac:dyDescent="0.4">
      <c r="A5" t="s">
        <v>43</v>
      </c>
      <c r="B5" t="s">
        <v>42</v>
      </c>
      <c r="C5" t="s">
        <v>44</v>
      </c>
      <c r="E5" t="s">
        <v>43</v>
      </c>
      <c r="F5" t="s">
        <v>42</v>
      </c>
      <c r="G5" t="s">
        <v>44</v>
      </c>
      <c r="I5" t="s">
        <v>43</v>
      </c>
      <c r="J5" t="s">
        <v>42</v>
      </c>
      <c r="K5" t="s">
        <v>44</v>
      </c>
      <c r="M5" t="s">
        <v>43</v>
      </c>
      <c r="N5" t="s">
        <v>42</v>
      </c>
      <c r="O5" t="s">
        <v>44</v>
      </c>
      <c r="Q5" t="s">
        <v>43</v>
      </c>
      <c r="R5" t="s">
        <v>42</v>
      </c>
      <c r="S5" t="s">
        <v>44</v>
      </c>
      <c r="U5" t="s">
        <v>43</v>
      </c>
      <c r="V5" t="s">
        <v>42</v>
      </c>
      <c r="W5" t="s">
        <v>44</v>
      </c>
      <c r="AA5" t="s">
        <v>43</v>
      </c>
      <c r="AB5" t="s">
        <v>42</v>
      </c>
      <c r="AC5" t="s">
        <v>44</v>
      </c>
    </row>
    <row r="6" spans="1:30" x14ac:dyDescent="0.4">
      <c r="A6" s="7" t="s">
        <v>129</v>
      </c>
      <c r="B6" s="3">
        <v>9861</v>
      </c>
      <c r="C6" s="7" t="s">
        <v>73</v>
      </c>
      <c r="E6" s="7" t="s">
        <v>129</v>
      </c>
      <c r="F6" s="3">
        <v>9861</v>
      </c>
      <c r="G6" s="7" t="s">
        <v>54</v>
      </c>
      <c r="I6" s="7" t="s">
        <v>129</v>
      </c>
      <c r="J6" s="3"/>
      <c r="K6" s="7" t="s">
        <v>143</v>
      </c>
      <c r="M6" s="7" t="s">
        <v>129</v>
      </c>
      <c r="N6" s="3">
        <v>9861</v>
      </c>
      <c r="O6" s="7" t="s">
        <v>54</v>
      </c>
      <c r="Q6" s="7" t="s">
        <v>129</v>
      </c>
      <c r="R6" s="3">
        <v>9861</v>
      </c>
      <c r="S6" s="7" t="s">
        <v>54</v>
      </c>
      <c r="U6" s="7" t="s">
        <v>129</v>
      </c>
      <c r="V6" s="3">
        <v>9861</v>
      </c>
      <c r="W6" s="7" t="s">
        <v>54</v>
      </c>
      <c r="AA6" s="7" t="s">
        <v>129</v>
      </c>
      <c r="AB6" s="3">
        <v>9861</v>
      </c>
      <c r="AC6" s="7" t="s">
        <v>54</v>
      </c>
    </row>
    <row r="7" spans="1:30" x14ac:dyDescent="0.4">
      <c r="A7" s="7" t="s">
        <v>130</v>
      </c>
      <c r="B7" s="3" t="s">
        <v>74</v>
      </c>
      <c r="C7" s="7" t="s">
        <v>75</v>
      </c>
      <c r="E7" s="7" t="s">
        <v>130</v>
      </c>
      <c r="F7" s="3" t="s">
        <v>62</v>
      </c>
      <c r="G7" s="7" t="s">
        <v>55</v>
      </c>
      <c r="I7" t="s">
        <v>113</v>
      </c>
      <c r="K7" t="s">
        <v>142</v>
      </c>
      <c r="M7" s="7" t="s">
        <v>130</v>
      </c>
      <c r="N7" s="3" t="s">
        <v>62</v>
      </c>
      <c r="O7" s="7" t="s">
        <v>55</v>
      </c>
      <c r="Q7" s="7" t="s">
        <v>130</v>
      </c>
      <c r="R7" s="3" t="s">
        <v>62</v>
      </c>
      <c r="S7" s="7" t="s">
        <v>55</v>
      </c>
      <c r="U7" s="7" t="s">
        <v>130</v>
      </c>
      <c r="V7" s="3" t="s">
        <v>377</v>
      </c>
      <c r="W7" s="7" t="s">
        <v>55</v>
      </c>
      <c r="AA7" s="7" t="s">
        <v>130</v>
      </c>
      <c r="AB7" s="3" t="s">
        <v>62</v>
      </c>
      <c r="AC7" s="7" t="s">
        <v>55</v>
      </c>
    </row>
    <row r="8" spans="1:30" x14ac:dyDescent="0.4">
      <c r="A8" t="s">
        <v>131</v>
      </c>
      <c r="B8" s="4">
        <v>0</v>
      </c>
      <c r="C8" t="s">
        <v>76</v>
      </c>
      <c r="E8" t="s">
        <v>131</v>
      </c>
      <c r="F8" s="4">
        <v>0</v>
      </c>
      <c r="G8" t="s">
        <v>56</v>
      </c>
      <c r="I8" t="s">
        <v>113</v>
      </c>
      <c r="M8" t="s">
        <v>131</v>
      </c>
      <c r="N8" s="4">
        <v>0</v>
      </c>
      <c r="O8" t="s">
        <v>56</v>
      </c>
      <c r="Q8" t="s">
        <v>131</v>
      </c>
      <c r="R8" s="4">
        <v>0</v>
      </c>
      <c r="S8" t="s">
        <v>56</v>
      </c>
      <c r="U8" t="s">
        <v>131</v>
      </c>
      <c r="V8" s="3" t="s">
        <v>378</v>
      </c>
      <c r="W8" t="s">
        <v>56</v>
      </c>
      <c r="AA8" t="s">
        <v>131</v>
      </c>
      <c r="AB8" s="3" t="s">
        <v>378</v>
      </c>
      <c r="AC8" t="s">
        <v>56</v>
      </c>
    </row>
    <row r="9" spans="1:30" x14ac:dyDescent="0.4">
      <c r="A9" t="s">
        <v>132</v>
      </c>
      <c r="B9" s="4">
        <v>2325</v>
      </c>
      <c r="C9" t="s">
        <v>77</v>
      </c>
      <c r="E9" t="s">
        <v>132</v>
      </c>
      <c r="F9" s="4">
        <v>2345</v>
      </c>
      <c r="G9" t="s">
        <v>57</v>
      </c>
      <c r="I9" t="s">
        <v>113</v>
      </c>
      <c r="M9" t="s">
        <v>132</v>
      </c>
      <c r="N9" s="4">
        <v>2580</v>
      </c>
      <c r="O9" t="s">
        <v>57</v>
      </c>
      <c r="Q9" t="s">
        <v>132</v>
      </c>
      <c r="R9" s="4">
        <v>2430</v>
      </c>
      <c r="S9" t="s">
        <v>57</v>
      </c>
      <c r="U9" t="s">
        <v>132</v>
      </c>
      <c r="V9" s="3">
        <v>2555</v>
      </c>
      <c r="W9" t="s">
        <v>57</v>
      </c>
      <c r="AA9" t="s">
        <v>132</v>
      </c>
      <c r="AB9" s="4">
        <v>2580</v>
      </c>
      <c r="AC9" t="s">
        <v>57</v>
      </c>
    </row>
    <row r="10" spans="1:30" x14ac:dyDescent="0.4">
      <c r="A10" t="s">
        <v>133</v>
      </c>
      <c r="B10" s="4">
        <v>800</v>
      </c>
      <c r="E10" t="s">
        <v>133</v>
      </c>
      <c r="F10" s="4">
        <v>100</v>
      </c>
      <c r="I10" t="s">
        <v>113</v>
      </c>
      <c r="M10" t="s">
        <v>133</v>
      </c>
      <c r="N10" s="4">
        <v>100</v>
      </c>
      <c r="Q10" t="s">
        <v>133</v>
      </c>
      <c r="R10" s="4">
        <v>100</v>
      </c>
      <c r="U10" t="s">
        <v>133</v>
      </c>
      <c r="V10" s="3">
        <v>400</v>
      </c>
      <c r="AA10" t="s">
        <v>133</v>
      </c>
      <c r="AB10" s="4">
        <v>400</v>
      </c>
    </row>
    <row r="11" spans="1:30" x14ac:dyDescent="0.4">
      <c r="B11" t="s">
        <v>145</v>
      </c>
      <c r="F11" t="s">
        <v>145</v>
      </c>
      <c r="I11" t="s">
        <v>113</v>
      </c>
      <c r="N11" t="s">
        <v>145</v>
      </c>
      <c r="R11" t="s">
        <v>145</v>
      </c>
    </row>
    <row r="12" spans="1:30" x14ac:dyDescent="0.4">
      <c r="N12" t="s">
        <v>144</v>
      </c>
      <c r="R12" t="s">
        <v>144</v>
      </c>
    </row>
    <row r="13" spans="1:30" s="12" customFormat="1" x14ac:dyDescent="0.4">
      <c r="I13"/>
      <c r="J13"/>
      <c r="K13"/>
      <c r="U13" t="s">
        <v>154</v>
      </c>
      <c r="V13" t="s">
        <v>146</v>
      </c>
      <c r="W13" t="s">
        <v>147</v>
      </c>
      <c r="X13" t="s">
        <v>148</v>
      </c>
      <c r="AA13" t="s">
        <v>154</v>
      </c>
      <c r="AB13" t="s">
        <v>146</v>
      </c>
      <c r="AC13" t="s">
        <v>147</v>
      </c>
      <c r="AD13" t="s">
        <v>148</v>
      </c>
    </row>
    <row r="14" spans="1:30" ht="37.5" x14ac:dyDescent="0.4">
      <c r="A14" t="s">
        <v>64</v>
      </c>
      <c r="E14" t="s">
        <v>64</v>
      </c>
      <c r="I14" t="s">
        <v>71</v>
      </c>
      <c r="M14" t="s">
        <v>64</v>
      </c>
      <c r="Q14" t="s">
        <v>64</v>
      </c>
      <c r="V14" s="10" t="s">
        <v>149</v>
      </c>
      <c r="W14" t="s">
        <v>150</v>
      </c>
      <c r="X14" t="s">
        <v>151</v>
      </c>
      <c r="AB14" s="10" t="s">
        <v>149</v>
      </c>
      <c r="AC14" t="s">
        <v>150</v>
      </c>
      <c r="AD14" t="s">
        <v>151</v>
      </c>
    </row>
    <row r="15" spans="1:30" x14ac:dyDescent="0.4">
      <c r="A15" t="s">
        <v>79</v>
      </c>
      <c r="B15" t="b">
        <v>1</v>
      </c>
      <c r="E15" t="s">
        <v>79</v>
      </c>
      <c r="F15" t="b">
        <v>1</v>
      </c>
      <c r="I15" t="s">
        <v>79</v>
      </c>
      <c r="J15" t="b">
        <v>1</v>
      </c>
      <c r="M15" t="s">
        <v>79</v>
      </c>
      <c r="N15" t="b">
        <v>1</v>
      </c>
      <c r="Q15" t="s">
        <v>79</v>
      </c>
      <c r="R15" t="b">
        <v>1</v>
      </c>
      <c r="U15" s="12"/>
      <c r="V15" s="17">
        <v>202212010000029</v>
      </c>
      <c r="W15" s="18">
        <v>2</v>
      </c>
      <c r="X15" s="18">
        <v>200</v>
      </c>
      <c r="AA15" s="12"/>
      <c r="AB15" s="17">
        <v>202212020000002</v>
      </c>
      <c r="AC15" s="18">
        <v>2</v>
      </c>
      <c r="AD15" s="18">
        <v>200</v>
      </c>
    </row>
    <row r="16" spans="1:30" x14ac:dyDescent="0.4">
      <c r="A16" t="s">
        <v>78</v>
      </c>
      <c r="B16" t="b">
        <v>1</v>
      </c>
      <c r="E16" t="s">
        <v>78</v>
      </c>
      <c r="F16" t="b">
        <v>1</v>
      </c>
      <c r="I16" t="s">
        <v>78</v>
      </c>
      <c r="J16" t="b">
        <v>1</v>
      </c>
      <c r="M16" t="s">
        <v>78</v>
      </c>
      <c r="N16" t="b">
        <v>1</v>
      </c>
      <c r="Q16" t="s">
        <v>78</v>
      </c>
      <c r="R16" t="b">
        <v>1</v>
      </c>
      <c r="V16" s="17">
        <v>202212010000018</v>
      </c>
      <c r="W16" s="18">
        <v>1</v>
      </c>
      <c r="X16" s="18">
        <v>200</v>
      </c>
      <c r="AB16" s="17">
        <v>202212020000009</v>
      </c>
      <c r="AC16" s="18">
        <v>1</v>
      </c>
      <c r="AD16" s="18">
        <v>100</v>
      </c>
    </row>
    <row r="17" spans="1:30" x14ac:dyDescent="0.4">
      <c r="A17" t="s">
        <v>46</v>
      </c>
      <c r="B17" s="8" t="s">
        <v>84</v>
      </c>
      <c r="E17" t="s">
        <v>46</v>
      </c>
      <c r="F17" s="8" t="s">
        <v>84</v>
      </c>
      <c r="H17" s="7"/>
      <c r="I17" t="s">
        <v>46</v>
      </c>
      <c r="J17" s="8" t="s">
        <v>152</v>
      </c>
      <c r="L17" s="7"/>
      <c r="M17" t="s">
        <v>46</v>
      </c>
      <c r="N17" s="8" t="s">
        <v>84</v>
      </c>
      <c r="Q17" t="s">
        <v>46</v>
      </c>
      <c r="R17" s="8" t="s">
        <v>84</v>
      </c>
      <c r="V17" s="17"/>
      <c r="W17" s="18"/>
      <c r="X17" s="18"/>
      <c r="AB17" s="17">
        <v>202212020000007</v>
      </c>
      <c r="AC17" s="18">
        <v>3</v>
      </c>
      <c r="AD17" s="18">
        <v>100</v>
      </c>
    </row>
    <row r="18" spans="1:30" x14ac:dyDescent="0.4">
      <c r="A18" t="s">
        <v>65</v>
      </c>
      <c r="B18" s="8">
        <v>11102</v>
      </c>
      <c r="E18" t="s">
        <v>65</v>
      </c>
      <c r="F18" s="8">
        <v>0</v>
      </c>
      <c r="H18" s="7"/>
      <c r="I18" t="s">
        <v>45</v>
      </c>
      <c r="J18" s="13">
        <v>0</v>
      </c>
      <c r="L18" s="7"/>
      <c r="M18" t="s">
        <v>65</v>
      </c>
      <c r="N18" s="8">
        <v>0</v>
      </c>
      <c r="Q18" t="s">
        <v>65</v>
      </c>
      <c r="R18" s="8">
        <v>0</v>
      </c>
      <c r="V18" s="17"/>
      <c r="W18" s="18"/>
      <c r="X18" s="18"/>
      <c r="AB18" s="17"/>
      <c r="AC18" s="18"/>
      <c r="AD18" s="18"/>
    </row>
    <row r="19" spans="1:30" x14ac:dyDescent="0.4">
      <c r="A19" t="s">
        <v>48</v>
      </c>
      <c r="B19" s="8" t="s">
        <v>388</v>
      </c>
      <c r="E19" t="s">
        <v>48</v>
      </c>
      <c r="F19" s="8"/>
      <c r="I19" t="s">
        <v>47</v>
      </c>
      <c r="J19" s="14">
        <v>0</v>
      </c>
      <c r="M19" t="s">
        <v>48</v>
      </c>
      <c r="N19" s="8"/>
      <c r="Q19" t="s">
        <v>48</v>
      </c>
      <c r="R19" s="8"/>
      <c r="V19" s="17"/>
      <c r="W19" s="18"/>
      <c r="X19" s="18"/>
      <c r="AB19" s="17"/>
      <c r="AC19" s="18"/>
      <c r="AD19" s="18"/>
    </row>
    <row r="20" spans="1:30" ht="33" x14ac:dyDescent="0.4">
      <c r="A20" t="s">
        <v>109</v>
      </c>
      <c r="B20" s="8"/>
      <c r="E20" t="s">
        <v>109</v>
      </c>
      <c r="F20" s="8">
        <v>2000006</v>
      </c>
      <c r="I20" t="s">
        <v>48</v>
      </c>
      <c r="J20" s="14"/>
      <c r="M20" t="s">
        <v>109</v>
      </c>
      <c r="N20" s="8">
        <v>2000009</v>
      </c>
      <c r="Q20" t="s">
        <v>109</v>
      </c>
      <c r="R20" s="8">
        <v>1000032</v>
      </c>
      <c r="V20" s="19" t="s">
        <v>153</v>
      </c>
      <c r="W20" s="20" t="s">
        <v>204</v>
      </c>
      <c r="X20" s="20"/>
      <c r="AB20" s="19" t="s">
        <v>153</v>
      </c>
      <c r="AC20" s="20" t="s">
        <v>204</v>
      </c>
      <c r="AD20" s="20"/>
    </row>
    <row r="21" spans="1:30" x14ac:dyDescent="0.4">
      <c r="A21" t="s">
        <v>110</v>
      </c>
      <c r="B21" s="8"/>
      <c r="E21" t="s">
        <v>110</v>
      </c>
      <c r="F21" s="8">
        <v>20221202</v>
      </c>
      <c r="M21" t="s">
        <v>110</v>
      </c>
      <c r="N21" s="8">
        <v>20221202</v>
      </c>
      <c r="Q21" t="s">
        <v>110</v>
      </c>
      <c r="R21" s="8">
        <v>20221201</v>
      </c>
    </row>
    <row r="24" spans="1:30" x14ac:dyDescent="0.4">
      <c r="U24" t="s">
        <v>64</v>
      </c>
      <c r="AA24" t="s">
        <v>64</v>
      </c>
    </row>
    <row r="25" spans="1:30" x14ac:dyDescent="0.4">
      <c r="U25" t="s">
        <v>79</v>
      </c>
      <c r="V25" t="b">
        <v>1</v>
      </c>
      <c r="AA25" t="s">
        <v>79</v>
      </c>
      <c r="AB25" t="b">
        <v>1</v>
      </c>
    </row>
    <row r="26" spans="1:30" x14ac:dyDescent="0.4">
      <c r="U26" t="s">
        <v>78</v>
      </c>
      <c r="V26" t="b">
        <v>1</v>
      </c>
      <c r="AA26" t="s">
        <v>78</v>
      </c>
      <c r="AB26" t="b">
        <v>1</v>
      </c>
    </row>
    <row r="27" spans="1:30" x14ac:dyDescent="0.4">
      <c r="U27" t="s">
        <v>46</v>
      </c>
      <c r="V27" s="8" t="s">
        <v>84</v>
      </c>
      <c r="AA27" t="s">
        <v>46</v>
      </c>
      <c r="AB27" s="8" t="s">
        <v>84</v>
      </c>
    </row>
    <row r="28" spans="1:30" x14ac:dyDescent="0.4">
      <c r="U28" t="s">
        <v>65</v>
      </c>
      <c r="V28" s="8">
        <v>0</v>
      </c>
      <c r="AA28" t="s">
        <v>65</v>
      </c>
      <c r="AB28" s="8">
        <v>0</v>
      </c>
    </row>
    <row r="29" spans="1:30" x14ac:dyDescent="0.4">
      <c r="U29" t="s">
        <v>48</v>
      </c>
      <c r="V29" s="8"/>
      <c r="AA29" t="s">
        <v>48</v>
      </c>
      <c r="AB29" s="8"/>
    </row>
    <row r="30" spans="1:30" x14ac:dyDescent="0.4">
      <c r="U30" t="s">
        <v>109</v>
      </c>
      <c r="V30" s="8">
        <v>1000043</v>
      </c>
      <c r="AA30" t="s">
        <v>109</v>
      </c>
      <c r="AB30" s="8">
        <v>2000008</v>
      </c>
    </row>
    <row r="31" spans="1:30" x14ac:dyDescent="0.4">
      <c r="U31" t="s">
        <v>110</v>
      </c>
      <c r="V31" s="8">
        <v>20221201</v>
      </c>
      <c r="AA31" t="s">
        <v>110</v>
      </c>
      <c r="AB31" s="8">
        <v>20221202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4"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5"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6"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7"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8"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9"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85</v>
      </c>
      <c r="B1" s="11" t="s">
        <v>366</v>
      </c>
      <c r="C1" s="11"/>
      <c r="D1" s="11"/>
      <c r="E1" s="11"/>
      <c r="F1" s="11" t="s">
        <v>365</v>
      </c>
    </row>
    <row r="2" spans="1:24" ht="19.5" thickBot="1" x14ac:dyDescent="0.45">
      <c r="A2" s="11" t="s">
        <v>86</v>
      </c>
      <c r="B2" s="11"/>
      <c r="C2" s="11"/>
      <c r="D2" s="11"/>
      <c r="E2" s="11"/>
      <c r="F2" s="15" t="s">
        <v>195</v>
      </c>
      <c r="O2" t="s">
        <v>364</v>
      </c>
      <c r="Q2" s="37" t="s">
        <v>372</v>
      </c>
      <c r="R2" s="38" t="s">
        <v>371</v>
      </c>
    </row>
    <row r="3" spans="1:24" ht="49.5" customHeight="1" thickTop="1" x14ac:dyDescent="0.4">
      <c r="H3" s="26" t="s">
        <v>358</v>
      </c>
      <c r="I3" s="27" t="s">
        <v>362</v>
      </c>
      <c r="J3" s="27" t="s">
        <v>360</v>
      </c>
      <c r="K3" s="27" t="s">
        <v>359</v>
      </c>
      <c r="L3" s="28" t="s">
        <v>361</v>
      </c>
      <c r="N3" t="s">
        <v>217</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9" t="s">
        <v>380</v>
      </c>
      <c r="F4" s="39" t="s">
        <v>381</v>
      </c>
      <c r="H4" s="29">
        <v>1</v>
      </c>
      <c r="I4" s="30" t="s">
        <v>266</v>
      </c>
      <c r="J4" s="30" t="s">
        <v>267</v>
      </c>
      <c r="K4" s="30" t="str">
        <f>MID(I4,2,LEN(I4)-1)</f>
        <v>AAV</v>
      </c>
      <c r="L4" s="31" t="str">
        <f>LEFT(I4,1)</f>
        <v>p</v>
      </c>
      <c r="N4" s="4">
        <v>1332</v>
      </c>
    </row>
    <row r="5" spans="1:24" x14ac:dyDescent="0.4">
      <c r="A5" t="s">
        <v>43</v>
      </c>
      <c r="B5" t="s">
        <v>80</v>
      </c>
      <c r="C5" t="s">
        <v>44</v>
      </c>
      <c r="H5" s="29">
        <v>2</v>
      </c>
      <c r="I5" s="30" t="s">
        <v>268</v>
      </c>
      <c r="J5" s="30" t="s">
        <v>269</v>
      </c>
      <c r="K5" s="30" t="str">
        <f t="shared" ref="K5:K68" si="0">MID(I5,2,LEN(I5)-1)</f>
        <v>ABV</v>
      </c>
      <c r="L5" s="31" t="str">
        <f t="shared" ref="L5:L68" si="1">LEFT(I5,1)</f>
        <v>p</v>
      </c>
      <c r="N5" s="4">
        <v>1333</v>
      </c>
      <c r="P5" s="40" t="s">
        <v>384</v>
      </c>
    </row>
    <row r="6" spans="1:24" x14ac:dyDescent="0.4">
      <c r="A6" s="7" t="s">
        <v>367</v>
      </c>
      <c r="B6" s="3">
        <v>9432</v>
      </c>
      <c r="C6" s="7" t="s">
        <v>369</v>
      </c>
      <c r="H6" s="29">
        <v>3</v>
      </c>
      <c r="I6" s="30" t="s">
        <v>224</v>
      </c>
      <c r="J6" s="30" t="s">
        <v>252</v>
      </c>
      <c r="K6" s="30" t="str">
        <f t="shared" si="0"/>
        <v>AV</v>
      </c>
      <c r="L6" s="31" t="str">
        <f t="shared" si="1"/>
        <v>p</v>
      </c>
      <c r="N6" s="4">
        <v>1605</v>
      </c>
      <c r="P6" s="39" t="s">
        <v>387</v>
      </c>
    </row>
    <row r="7" spans="1:24" x14ac:dyDescent="0.4">
      <c r="A7" s="7" t="s">
        <v>368</v>
      </c>
      <c r="B7" s="3" t="s">
        <v>62</v>
      </c>
      <c r="C7" s="7" t="s">
        <v>55</v>
      </c>
      <c r="H7" s="29">
        <v>4</v>
      </c>
      <c r="I7" s="30" t="s">
        <v>227</v>
      </c>
      <c r="J7" s="30" t="s">
        <v>255</v>
      </c>
      <c r="K7" s="30" t="str">
        <f t="shared" si="0"/>
        <v>BV</v>
      </c>
      <c r="L7" s="31" t="str">
        <f t="shared" si="1"/>
        <v>p</v>
      </c>
      <c r="N7" s="4">
        <v>1721</v>
      </c>
      <c r="P7" s="39" t="s">
        <v>385</v>
      </c>
      <c r="U7" s="25"/>
    </row>
    <row r="8" spans="1:24" x14ac:dyDescent="0.4">
      <c r="H8" s="29">
        <v>5</v>
      </c>
      <c r="I8" s="30" t="s">
        <v>258</v>
      </c>
      <c r="J8" s="30" t="s">
        <v>259</v>
      </c>
      <c r="K8" s="30" t="str">
        <f t="shared" si="0"/>
        <v>DCFS</v>
      </c>
      <c r="L8" s="31" t="str">
        <f t="shared" si="1"/>
        <v>x</v>
      </c>
      <c r="N8" s="4">
        <v>1801</v>
      </c>
    </row>
    <row r="9" spans="1:24" x14ac:dyDescent="0.4">
      <c r="H9" s="29">
        <v>6</v>
      </c>
      <c r="I9" s="30" t="s">
        <v>260</v>
      </c>
      <c r="J9" s="30" t="s">
        <v>261</v>
      </c>
      <c r="K9" s="30" t="str">
        <f t="shared" si="0"/>
        <v>DHF</v>
      </c>
      <c r="L9" s="31" t="str">
        <f t="shared" si="1"/>
        <v>p</v>
      </c>
      <c r="N9" s="4">
        <v>1802</v>
      </c>
      <c r="O9" s="41" t="s">
        <v>382</v>
      </c>
      <c r="P9" s="39" t="s">
        <v>386</v>
      </c>
    </row>
    <row r="10" spans="1:24" x14ac:dyDescent="0.4">
      <c r="H10" s="29">
        <v>7</v>
      </c>
      <c r="I10" s="30" t="s">
        <v>240</v>
      </c>
      <c r="J10" s="30" t="s">
        <v>241</v>
      </c>
      <c r="K10" s="30" t="str">
        <f t="shared" si="0"/>
        <v>DHP</v>
      </c>
      <c r="L10" s="31" t="str">
        <f t="shared" si="1"/>
        <v>p</v>
      </c>
      <c r="N10" s="4">
        <v>1803</v>
      </c>
      <c r="P10" s="39" t="s">
        <v>383</v>
      </c>
    </row>
    <row r="11" spans="1:24" x14ac:dyDescent="0.4">
      <c r="H11" s="29">
        <v>8</v>
      </c>
      <c r="I11" s="30" t="s">
        <v>242</v>
      </c>
      <c r="J11" s="30" t="s">
        <v>243</v>
      </c>
      <c r="K11" s="30" t="str">
        <f t="shared" si="0"/>
        <v>DHP:T</v>
      </c>
      <c r="L11" s="31" t="str">
        <f t="shared" si="1"/>
        <v>t</v>
      </c>
      <c r="N11" s="4">
        <v>1808</v>
      </c>
    </row>
    <row r="12" spans="1:24" x14ac:dyDescent="0.4">
      <c r="H12" s="29">
        <v>9</v>
      </c>
      <c r="I12" s="30" t="s">
        <v>264</v>
      </c>
      <c r="J12" s="30" t="s">
        <v>265</v>
      </c>
      <c r="K12" s="30" t="str">
        <f t="shared" si="0"/>
        <v>DJ</v>
      </c>
      <c r="L12" s="31" t="str">
        <f t="shared" si="1"/>
        <v>p</v>
      </c>
      <c r="N12" s="4">
        <v>1812</v>
      </c>
    </row>
    <row r="13" spans="1:24" x14ac:dyDescent="0.4">
      <c r="H13" s="29">
        <v>10</v>
      </c>
      <c r="I13" s="30" t="s">
        <v>262</v>
      </c>
      <c r="J13" s="30" t="s">
        <v>263</v>
      </c>
      <c r="K13" s="30" t="str">
        <f t="shared" si="0"/>
        <v>DLF</v>
      </c>
      <c r="L13" s="31" t="str">
        <f t="shared" si="1"/>
        <v>p</v>
      </c>
      <c r="N13" s="4">
        <v>1925</v>
      </c>
      <c r="P13" s="39" t="s">
        <v>381</v>
      </c>
    </row>
    <row r="14" spans="1:24" x14ac:dyDescent="0.4">
      <c r="A14" t="s">
        <v>71</v>
      </c>
      <c r="H14" s="29">
        <v>11</v>
      </c>
      <c r="I14" s="30" t="s">
        <v>244</v>
      </c>
      <c r="J14" s="30" t="s">
        <v>245</v>
      </c>
      <c r="K14" s="30" t="str">
        <f t="shared" si="0"/>
        <v>DLP</v>
      </c>
      <c r="L14" s="31" t="str">
        <f t="shared" si="1"/>
        <v>p</v>
      </c>
      <c r="N14" s="4">
        <v>1928</v>
      </c>
    </row>
    <row r="15" spans="1:24" x14ac:dyDescent="0.4">
      <c r="A15" t="s">
        <v>79</v>
      </c>
      <c r="B15" t="b">
        <v>1</v>
      </c>
      <c r="E15" t="s">
        <v>79</v>
      </c>
      <c r="F15" t="b">
        <v>0</v>
      </c>
      <c r="H15" s="29">
        <v>12</v>
      </c>
      <c r="I15" s="30" t="s">
        <v>246</v>
      </c>
      <c r="J15" s="30" t="s">
        <v>247</v>
      </c>
      <c r="K15" s="30" t="str">
        <f t="shared" si="0"/>
        <v>DLP:T</v>
      </c>
      <c r="L15" s="31" t="str">
        <f t="shared" si="1"/>
        <v>t</v>
      </c>
      <c r="N15" s="4">
        <v>1963</v>
      </c>
    </row>
    <row r="16" spans="1:24" x14ac:dyDescent="0.4">
      <c r="A16" t="s">
        <v>78</v>
      </c>
      <c r="B16" t="b">
        <v>1</v>
      </c>
      <c r="E16" t="s">
        <v>78</v>
      </c>
      <c r="H16" s="29">
        <v>13</v>
      </c>
      <c r="I16" s="30" t="s">
        <v>236</v>
      </c>
      <c r="J16" s="30" t="s">
        <v>237</v>
      </c>
      <c r="K16" s="30" t="str">
        <f t="shared" si="0"/>
        <v>DOP</v>
      </c>
      <c r="L16" s="31" t="str">
        <f t="shared" si="1"/>
        <v>p</v>
      </c>
      <c r="N16" s="4">
        <v>2002</v>
      </c>
    </row>
    <row r="17" spans="1:14" x14ac:dyDescent="0.4">
      <c r="A17" t="s">
        <v>46</v>
      </c>
      <c r="B17" s="8" t="s">
        <v>370</v>
      </c>
      <c r="E17" t="s">
        <v>46</v>
      </c>
      <c r="F17" s="8"/>
      <c r="H17" s="29">
        <v>14</v>
      </c>
      <c r="I17" s="30" t="s">
        <v>238</v>
      </c>
      <c r="J17" s="30" t="s">
        <v>239</v>
      </c>
      <c r="K17" s="30" t="str">
        <f t="shared" si="0"/>
        <v>DOP:T</v>
      </c>
      <c r="L17" s="31" t="str">
        <f t="shared" si="1"/>
        <v>t</v>
      </c>
      <c r="N17" s="4">
        <v>2269</v>
      </c>
    </row>
    <row r="18" spans="1:14" x14ac:dyDescent="0.4">
      <c r="A18" t="s">
        <v>45</v>
      </c>
      <c r="B18" s="13">
        <v>0</v>
      </c>
      <c r="E18" t="s">
        <v>45</v>
      </c>
      <c r="F18" s="13"/>
      <c r="H18" s="29">
        <v>15</v>
      </c>
      <c r="I18" s="30" t="s">
        <v>232</v>
      </c>
      <c r="J18" s="30" t="s">
        <v>233</v>
      </c>
      <c r="K18" s="30" t="str">
        <f t="shared" si="0"/>
        <v>DPG</v>
      </c>
      <c r="L18" s="31" t="str">
        <f t="shared" si="1"/>
        <v>p</v>
      </c>
      <c r="N18" s="4">
        <v>2282</v>
      </c>
    </row>
    <row r="19" spans="1:14" x14ac:dyDescent="0.4">
      <c r="A19" t="s">
        <v>363</v>
      </c>
      <c r="B19" s="14"/>
      <c r="E19" t="s">
        <v>363</v>
      </c>
      <c r="F19" s="14"/>
      <c r="H19" s="29">
        <v>16</v>
      </c>
      <c r="I19" s="30" t="s">
        <v>218</v>
      </c>
      <c r="J19" s="30" t="s">
        <v>230</v>
      </c>
      <c r="K19" s="30" t="str">
        <f t="shared" si="0"/>
        <v>DPP</v>
      </c>
      <c r="L19" s="31" t="str">
        <f t="shared" si="1"/>
        <v>p</v>
      </c>
      <c r="N19" s="4">
        <v>2413</v>
      </c>
    </row>
    <row r="20" spans="1:14" x14ac:dyDescent="0.4">
      <c r="F20" s="36"/>
      <c r="H20" s="29">
        <v>17</v>
      </c>
      <c r="I20" s="30" t="s">
        <v>219</v>
      </c>
      <c r="J20" s="30" t="s">
        <v>231</v>
      </c>
      <c r="K20" s="30" t="str">
        <f t="shared" si="0"/>
        <v>DPP:T</v>
      </c>
      <c r="L20" s="31" t="str">
        <f t="shared" si="1"/>
        <v>t</v>
      </c>
      <c r="N20" s="4">
        <v>2432</v>
      </c>
    </row>
    <row r="21" spans="1:14" x14ac:dyDescent="0.4">
      <c r="H21" s="29">
        <v>18</v>
      </c>
      <c r="I21" s="30" t="s">
        <v>248</v>
      </c>
      <c r="J21" s="30" t="s">
        <v>249</v>
      </c>
      <c r="K21" s="30" t="str">
        <f t="shared" si="0"/>
        <v>DV</v>
      </c>
      <c r="L21" s="31" t="str">
        <f t="shared" si="1"/>
        <v>p</v>
      </c>
      <c r="N21" s="4">
        <v>2501</v>
      </c>
    </row>
    <row r="22" spans="1:14" x14ac:dyDescent="0.4">
      <c r="H22" s="29">
        <v>19</v>
      </c>
      <c r="I22" s="30" t="s">
        <v>256</v>
      </c>
      <c r="J22" s="30" t="s">
        <v>257</v>
      </c>
      <c r="K22" s="30" t="str">
        <f t="shared" si="0"/>
        <v>DVES</v>
      </c>
      <c r="L22" s="31" t="str">
        <f t="shared" si="1"/>
        <v>x</v>
      </c>
      <c r="N22" s="4">
        <v>2502</v>
      </c>
    </row>
    <row r="23" spans="1:14" x14ac:dyDescent="0.4">
      <c r="H23" s="29">
        <v>20</v>
      </c>
      <c r="I23" s="30" t="s">
        <v>221</v>
      </c>
      <c r="J23" s="30" t="s">
        <v>235</v>
      </c>
      <c r="K23" s="30" t="str">
        <f t="shared" si="0"/>
        <v>DYRP</v>
      </c>
      <c r="L23" s="31" t="str">
        <f t="shared" si="1"/>
        <v>p</v>
      </c>
      <c r="N23" s="4">
        <v>2503</v>
      </c>
    </row>
    <row r="24" spans="1:14" x14ac:dyDescent="0.4">
      <c r="H24" s="29">
        <v>21</v>
      </c>
      <c r="I24" s="30" t="s">
        <v>220</v>
      </c>
      <c r="J24" s="30" t="s">
        <v>234</v>
      </c>
      <c r="K24" s="30" t="str">
        <f t="shared" si="0"/>
        <v>DYWP</v>
      </c>
      <c r="L24" s="31" t="str">
        <f t="shared" si="1"/>
        <v>p</v>
      </c>
      <c r="N24" s="4">
        <v>2531</v>
      </c>
    </row>
    <row r="25" spans="1:14" x14ac:dyDescent="0.4">
      <c r="H25" s="29">
        <v>22</v>
      </c>
      <c r="I25" s="30" t="s">
        <v>272</v>
      </c>
      <c r="J25" s="30" t="s">
        <v>273</v>
      </c>
      <c r="K25" s="30" t="str">
        <f t="shared" si="0"/>
        <v>GAV10</v>
      </c>
      <c r="L25" s="31" t="str">
        <f t="shared" si="1"/>
        <v>p</v>
      </c>
      <c r="N25" s="4">
        <v>2768</v>
      </c>
    </row>
    <row r="26" spans="1:14" x14ac:dyDescent="0.4">
      <c r="H26" s="29">
        <v>23</v>
      </c>
      <c r="I26" s="30" t="s">
        <v>274</v>
      </c>
      <c r="J26" s="30" t="s">
        <v>275</v>
      </c>
      <c r="K26" s="30" t="str">
        <f t="shared" si="0"/>
        <v>GAP10</v>
      </c>
      <c r="L26" s="31" t="str">
        <f t="shared" si="1"/>
        <v>p</v>
      </c>
      <c r="N26" s="4">
        <v>2801</v>
      </c>
    </row>
    <row r="27" spans="1:14" x14ac:dyDescent="0.4">
      <c r="H27" s="29">
        <v>24</v>
      </c>
      <c r="I27" s="30" t="s">
        <v>276</v>
      </c>
      <c r="J27" s="30" t="s">
        <v>277</v>
      </c>
      <c r="K27" s="30" t="str">
        <f t="shared" si="0"/>
        <v>GAV9</v>
      </c>
      <c r="L27" s="31" t="str">
        <f t="shared" si="1"/>
        <v>p</v>
      </c>
      <c r="N27" s="4">
        <v>2802</v>
      </c>
    </row>
    <row r="28" spans="1:14" x14ac:dyDescent="0.4">
      <c r="H28" s="29">
        <v>25</v>
      </c>
      <c r="I28" s="30" t="s">
        <v>278</v>
      </c>
      <c r="J28" s="30" t="s">
        <v>279</v>
      </c>
      <c r="K28" s="30" t="str">
        <f t="shared" si="0"/>
        <v>GAP9</v>
      </c>
      <c r="L28" s="31" t="str">
        <f t="shared" si="1"/>
        <v>p</v>
      </c>
      <c r="N28" s="4">
        <v>2871</v>
      </c>
    </row>
    <row r="29" spans="1:14" x14ac:dyDescent="0.4">
      <c r="H29" s="29">
        <v>26</v>
      </c>
      <c r="I29" s="30" t="s">
        <v>280</v>
      </c>
      <c r="J29" s="30" t="s">
        <v>281</v>
      </c>
      <c r="K29" s="30" t="str">
        <f t="shared" si="0"/>
        <v>GAV8</v>
      </c>
      <c r="L29" s="31" t="str">
        <f t="shared" si="1"/>
        <v>p</v>
      </c>
      <c r="N29" s="4">
        <v>2914</v>
      </c>
    </row>
    <row r="30" spans="1:14" x14ac:dyDescent="0.4">
      <c r="H30" s="29">
        <v>27</v>
      </c>
      <c r="I30" s="30" t="s">
        <v>282</v>
      </c>
      <c r="J30" s="30" t="s">
        <v>283</v>
      </c>
      <c r="K30" s="30" t="str">
        <f t="shared" si="0"/>
        <v>GAP8</v>
      </c>
      <c r="L30" s="31" t="str">
        <f t="shared" si="1"/>
        <v>p</v>
      </c>
      <c r="N30" s="4">
        <v>3086</v>
      </c>
    </row>
    <row r="31" spans="1:14" x14ac:dyDescent="0.4">
      <c r="H31" s="29">
        <v>28</v>
      </c>
      <c r="I31" s="30" t="s">
        <v>284</v>
      </c>
      <c r="J31" s="30" t="s">
        <v>285</v>
      </c>
      <c r="K31" s="30" t="str">
        <f t="shared" si="0"/>
        <v>GAV7</v>
      </c>
      <c r="L31" s="31" t="str">
        <f t="shared" si="1"/>
        <v>p</v>
      </c>
      <c r="N31" s="4">
        <v>3099</v>
      </c>
    </row>
    <row r="32" spans="1:14" x14ac:dyDescent="0.4">
      <c r="H32" s="29">
        <v>29</v>
      </c>
      <c r="I32" s="30" t="s">
        <v>286</v>
      </c>
      <c r="J32" s="30" t="s">
        <v>287</v>
      </c>
      <c r="K32" s="30" t="str">
        <f t="shared" si="0"/>
        <v>GAP7</v>
      </c>
      <c r="L32" s="31" t="str">
        <f t="shared" si="1"/>
        <v>p</v>
      </c>
      <c r="N32" s="4">
        <v>3101</v>
      </c>
    </row>
    <row r="33" spans="8:14" x14ac:dyDescent="0.4">
      <c r="H33" s="29">
        <v>30</v>
      </c>
      <c r="I33" s="30" t="s">
        <v>288</v>
      </c>
      <c r="J33" s="30" t="s">
        <v>289</v>
      </c>
      <c r="K33" s="30" t="str">
        <f t="shared" si="0"/>
        <v>GAV6</v>
      </c>
      <c r="L33" s="31" t="str">
        <f t="shared" si="1"/>
        <v>p</v>
      </c>
      <c r="N33" s="4">
        <v>3103</v>
      </c>
    </row>
    <row r="34" spans="8:14" x14ac:dyDescent="0.4">
      <c r="H34" s="29">
        <v>31</v>
      </c>
      <c r="I34" s="30" t="s">
        <v>290</v>
      </c>
      <c r="J34" s="30" t="s">
        <v>291</v>
      </c>
      <c r="K34" s="30" t="str">
        <f t="shared" si="0"/>
        <v>GAP6</v>
      </c>
      <c r="L34" s="31" t="str">
        <f t="shared" si="1"/>
        <v>p</v>
      </c>
      <c r="N34" s="4">
        <v>3289</v>
      </c>
    </row>
    <row r="35" spans="8:14" x14ac:dyDescent="0.4">
      <c r="H35" s="29">
        <v>32</v>
      </c>
      <c r="I35" s="30" t="s">
        <v>292</v>
      </c>
      <c r="J35" s="30" t="s">
        <v>293</v>
      </c>
      <c r="K35" s="30" t="str">
        <f t="shared" si="0"/>
        <v>GAV5</v>
      </c>
      <c r="L35" s="31" t="str">
        <f t="shared" si="1"/>
        <v>p</v>
      </c>
      <c r="N35" s="4">
        <v>3382</v>
      </c>
    </row>
    <row r="36" spans="8:14" x14ac:dyDescent="0.4">
      <c r="H36" s="29">
        <v>33</v>
      </c>
      <c r="I36" s="30" t="s">
        <v>294</v>
      </c>
      <c r="J36" s="30" t="s">
        <v>295</v>
      </c>
      <c r="K36" s="30" t="str">
        <f t="shared" si="0"/>
        <v>GAP5</v>
      </c>
      <c r="L36" s="31" t="str">
        <f t="shared" si="1"/>
        <v>p</v>
      </c>
      <c r="N36" s="4">
        <v>3401</v>
      </c>
    </row>
    <row r="37" spans="8:14" x14ac:dyDescent="0.4">
      <c r="H37" s="29">
        <v>34</v>
      </c>
      <c r="I37" s="30" t="s">
        <v>296</v>
      </c>
      <c r="J37" s="30" t="s">
        <v>297</v>
      </c>
      <c r="K37" s="30" t="str">
        <f t="shared" si="0"/>
        <v>GAV4</v>
      </c>
      <c r="L37" s="31" t="str">
        <f t="shared" si="1"/>
        <v>p</v>
      </c>
      <c r="N37" s="4">
        <v>3402</v>
      </c>
    </row>
    <row r="38" spans="8:14" x14ac:dyDescent="0.4">
      <c r="H38" s="29">
        <v>35</v>
      </c>
      <c r="I38" s="30" t="s">
        <v>298</v>
      </c>
      <c r="J38" s="30" t="s">
        <v>299</v>
      </c>
      <c r="K38" s="30" t="str">
        <f t="shared" si="0"/>
        <v>GAP4</v>
      </c>
      <c r="L38" s="31" t="str">
        <f t="shared" si="1"/>
        <v>p</v>
      </c>
      <c r="N38" s="4">
        <v>3405</v>
      </c>
    </row>
    <row r="39" spans="8:14" x14ac:dyDescent="0.4">
      <c r="H39" s="29">
        <v>36</v>
      </c>
      <c r="I39" s="30" t="s">
        <v>300</v>
      </c>
      <c r="J39" s="30" t="s">
        <v>301</v>
      </c>
      <c r="K39" s="30" t="str">
        <f t="shared" si="0"/>
        <v>GAV3</v>
      </c>
      <c r="L39" s="31" t="str">
        <f t="shared" si="1"/>
        <v>p</v>
      </c>
      <c r="N39" s="4">
        <v>3407</v>
      </c>
    </row>
    <row r="40" spans="8:14" x14ac:dyDescent="0.4">
      <c r="H40" s="29">
        <v>37</v>
      </c>
      <c r="I40" s="30" t="s">
        <v>302</v>
      </c>
      <c r="J40" s="30" t="s">
        <v>303</v>
      </c>
      <c r="K40" s="30" t="str">
        <f t="shared" si="0"/>
        <v>GAP3</v>
      </c>
      <c r="L40" s="31" t="str">
        <f t="shared" si="1"/>
        <v>p</v>
      </c>
      <c r="N40" s="4">
        <v>3436</v>
      </c>
    </row>
    <row r="41" spans="8:14" x14ac:dyDescent="0.4">
      <c r="H41" s="29">
        <v>38</v>
      </c>
      <c r="I41" s="30" t="s">
        <v>304</v>
      </c>
      <c r="J41" s="30" t="s">
        <v>305</v>
      </c>
      <c r="K41" s="30" t="str">
        <f t="shared" si="0"/>
        <v>GAV2</v>
      </c>
      <c r="L41" s="31" t="str">
        <f t="shared" si="1"/>
        <v>p</v>
      </c>
      <c r="N41" s="4">
        <v>3659</v>
      </c>
    </row>
    <row r="42" spans="8:14" x14ac:dyDescent="0.4">
      <c r="H42" s="29">
        <v>39</v>
      </c>
      <c r="I42" s="30" t="s">
        <v>306</v>
      </c>
      <c r="J42" s="30" t="s">
        <v>307</v>
      </c>
      <c r="K42" s="30" t="str">
        <f t="shared" si="0"/>
        <v>GAP2</v>
      </c>
      <c r="L42" s="31" t="str">
        <f t="shared" si="1"/>
        <v>p</v>
      </c>
      <c r="N42" s="4">
        <v>3861</v>
      </c>
    </row>
    <row r="43" spans="8:14" x14ac:dyDescent="0.4">
      <c r="H43" s="29">
        <v>40</v>
      </c>
      <c r="I43" s="30" t="s">
        <v>308</v>
      </c>
      <c r="J43" s="30" t="s">
        <v>309</v>
      </c>
      <c r="K43" s="30" t="str">
        <f t="shared" si="0"/>
        <v>GAV1</v>
      </c>
      <c r="L43" s="31" t="str">
        <f t="shared" si="1"/>
        <v>p</v>
      </c>
      <c r="N43" s="4">
        <v>3863</v>
      </c>
    </row>
    <row r="44" spans="8:14" x14ac:dyDescent="0.4">
      <c r="H44" s="29">
        <v>41</v>
      </c>
      <c r="I44" s="30" t="s">
        <v>310</v>
      </c>
      <c r="J44" s="30" t="s">
        <v>311</v>
      </c>
      <c r="K44" s="30" t="str">
        <f t="shared" si="0"/>
        <v>GAP1</v>
      </c>
      <c r="L44" s="31" t="str">
        <f t="shared" si="1"/>
        <v>p</v>
      </c>
      <c r="N44" s="4">
        <v>4004</v>
      </c>
    </row>
    <row r="45" spans="8:14" x14ac:dyDescent="0.4">
      <c r="H45" s="29">
        <v>42</v>
      </c>
      <c r="I45" s="30" t="s">
        <v>312</v>
      </c>
      <c r="J45" s="30" t="s">
        <v>313</v>
      </c>
      <c r="K45" s="30" t="str">
        <f t="shared" si="0"/>
        <v>GBV1</v>
      </c>
      <c r="L45" s="31" t="str">
        <f t="shared" si="1"/>
        <v>p</v>
      </c>
      <c r="N45" s="4">
        <v>4005</v>
      </c>
    </row>
    <row r="46" spans="8:14" x14ac:dyDescent="0.4">
      <c r="H46" s="29">
        <v>43</v>
      </c>
      <c r="I46" s="30" t="s">
        <v>314</v>
      </c>
      <c r="J46" s="30" t="s">
        <v>315</v>
      </c>
      <c r="K46" s="30" t="str">
        <f t="shared" si="0"/>
        <v>GBP1</v>
      </c>
      <c r="L46" s="31" t="str">
        <f t="shared" si="1"/>
        <v>p</v>
      </c>
      <c r="N46" s="4">
        <v>4021</v>
      </c>
    </row>
    <row r="47" spans="8:14" x14ac:dyDescent="0.4">
      <c r="H47" s="29">
        <v>44</v>
      </c>
      <c r="I47" s="30" t="s">
        <v>316</v>
      </c>
      <c r="J47" s="30" t="s">
        <v>317</v>
      </c>
      <c r="K47" s="30" t="str">
        <f t="shared" si="0"/>
        <v>GBV2</v>
      </c>
      <c r="L47" s="31" t="str">
        <f t="shared" si="1"/>
        <v>p</v>
      </c>
      <c r="N47" s="4">
        <v>4042</v>
      </c>
    </row>
    <row r="48" spans="8:14" x14ac:dyDescent="0.4">
      <c r="H48" s="29">
        <v>45</v>
      </c>
      <c r="I48" s="30" t="s">
        <v>318</v>
      </c>
      <c r="J48" s="30" t="s">
        <v>319</v>
      </c>
      <c r="K48" s="30" t="str">
        <f t="shared" si="0"/>
        <v>GBP2</v>
      </c>
      <c r="L48" s="31" t="str">
        <f t="shared" si="1"/>
        <v>p</v>
      </c>
      <c r="N48" s="4">
        <v>4043</v>
      </c>
    </row>
    <row r="49" spans="8:14" x14ac:dyDescent="0.4">
      <c r="H49" s="29">
        <v>46</v>
      </c>
      <c r="I49" s="30" t="s">
        <v>320</v>
      </c>
      <c r="J49" s="30" t="s">
        <v>321</v>
      </c>
      <c r="K49" s="30" t="str">
        <f t="shared" si="0"/>
        <v>GBV3</v>
      </c>
      <c r="L49" s="31" t="str">
        <f t="shared" si="1"/>
        <v>p</v>
      </c>
      <c r="N49" s="4">
        <v>4061</v>
      </c>
    </row>
    <row r="50" spans="8:14" x14ac:dyDescent="0.4">
      <c r="H50" s="29">
        <v>47</v>
      </c>
      <c r="I50" s="30" t="s">
        <v>322</v>
      </c>
      <c r="J50" s="30" t="s">
        <v>323</v>
      </c>
      <c r="K50" s="30" t="str">
        <f t="shared" si="0"/>
        <v>GBP3</v>
      </c>
      <c r="L50" s="31" t="str">
        <f t="shared" si="1"/>
        <v>p</v>
      </c>
      <c r="N50" s="4">
        <v>4063</v>
      </c>
    </row>
    <row r="51" spans="8:14" x14ac:dyDescent="0.4">
      <c r="H51" s="29">
        <v>48</v>
      </c>
      <c r="I51" s="30" t="s">
        <v>324</v>
      </c>
      <c r="J51" s="30" t="s">
        <v>325</v>
      </c>
      <c r="K51" s="30" t="str">
        <f t="shared" si="0"/>
        <v>GBV4</v>
      </c>
      <c r="L51" s="31" t="str">
        <f t="shared" si="1"/>
        <v>p</v>
      </c>
      <c r="N51" s="4">
        <v>4151</v>
      </c>
    </row>
    <row r="52" spans="8:14" x14ac:dyDescent="0.4">
      <c r="H52" s="29">
        <v>49</v>
      </c>
      <c r="I52" s="30" t="s">
        <v>326</v>
      </c>
      <c r="J52" s="30" t="s">
        <v>327</v>
      </c>
      <c r="K52" s="30" t="str">
        <f t="shared" si="0"/>
        <v>GBP4</v>
      </c>
      <c r="L52" s="31" t="str">
        <f t="shared" si="1"/>
        <v>p</v>
      </c>
      <c r="N52" s="4">
        <v>4183</v>
      </c>
    </row>
    <row r="53" spans="8:14" x14ac:dyDescent="0.4">
      <c r="H53" s="29">
        <v>50</v>
      </c>
      <c r="I53" s="30" t="s">
        <v>328</v>
      </c>
      <c r="J53" s="30" t="s">
        <v>329</v>
      </c>
      <c r="K53" s="30" t="str">
        <f t="shared" si="0"/>
        <v>GBV5</v>
      </c>
      <c r="L53" s="31" t="str">
        <f t="shared" si="1"/>
        <v>p</v>
      </c>
      <c r="N53" s="4">
        <v>4188</v>
      </c>
    </row>
    <row r="54" spans="8:14" x14ac:dyDescent="0.4">
      <c r="H54" s="29">
        <v>51</v>
      </c>
      <c r="I54" s="30" t="s">
        <v>330</v>
      </c>
      <c r="J54" s="30" t="s">
        <v>331</v>
      </c>
      <c r="K54" s="30" t="str">
        <f t="shared" si="0"/>
        <v>GBP5</v>
      </c>
      <c r="L54" s="31" t="str">
        <f t="shared" si="1"/>
        <v>p</v>
      </c>
      <c r="N54" s="4">
        <v>4208</v>
      </c>
    </row>
    <row r="55" spans="8:14" x14ac:dyDescent="0.4">
      <c r="H55" s="29">
        <v>52</v>
      </c>
      <c r="I55" s="30" t="s">
        <v>332</v>
      </c>
      <c r="J55" s="30" t="s">
        <v>333</v>
      </c>
      <c r="K55" s="30" t="str">
        <f t="shared" si="0"/>
        <v>GBV6</v>
      </c>
      <c r="L55" s="31" t="str">
        <f t="shared" si="1"/>
        <v>p</v>
      </c>
      <c r="N55" s="4">
        <v>4324</v>
      </c>
    </row>
    <row r="56" spans="8:14" x14ac:dyDescent="0.4">
      <c r="H56" s="29">
        <v>53</v>
      </c>
      <c r="I56" s="30" t="s">
        <v>334</v>
      </c>
      <c r="J56" s="30" t="s">
        <v>335</v>
      </c>
      <c r="K56" s="30" t="str">
        <f t="shared" si="0"/>
        <v>GBP6</v>
      </c>
      <c r="L56" s="31" t="str">
        <f t="shared" si="1"/>
        <v>p</v>
      </c>
      <c r="N56" s="4">
        <v>4452</v>
      </c>
    </row>
    <row r="57" spans="8:14" x14ac:dyDescent="0.4">
      <c r="H57" s="29">
        <v>54</v>
      </c>
      <c r="I57" s="30" t="s">
        <v>336</v>
      </c>
      <c r="J57" s="30" t="s">
        <v>337</v>
      </c>
      <c r="K57" s="30" t="str">
        <f t="shared" si="0"/>
        <v>GBV7</v>
      </c>
      <c r="L57" s="31" t="str">
        <f t="shared" si="1"/>
        <v>p</v>
      </c>
      <c r="N57" s="4">
        <v>4502</v>
      </c>
    </row>
    <row r="58" spans="8:14" x14ac:dyDescent="0.4">
      <c r="H58" s="29">
        <v>55</v>
      </c>
      <c r="I58" s="30" t="s">
        <v>338</v>
      </c>
      <c r="J58" s="30" t="s">
        <v>339</v>
      </c>
      <c r="K58" s="30" t="str">
        <f t="shared" si="0"/>
        <v>GBP7</v>
      </c>
      <c r="L58" s="31" t="str">
        <f t="shared" si="1"/>
        <v>p</v>
      </c>
      <c r="N58" s="4">
        <v>4503</v>
      </c>
    </row>
    <row r="59" spans="8:14" x14ac:dyDescent="0.4">
      <c r="H59" s="29">
        <v>56</v>
      </c>
      <c r="I59" s="30" t="s">
        <v>340</v>
      </c>
      <c r="J59" s="30" t="s">
        <v>341</v>
      </c>
      <c r="K59" s="30" t="str">
        <f t="shared" si="0"/>
        <v>GBV8</v>
      </c>
      <c r="L59" s="31" t="str">
        <f t="shared" si="1"/>
        <v>p</v>
      </c>
      <c r="N59" s="4">
        <v>4506</v>
      </c>
    </row>
    <row r="60" spans="8:14" x14ac:dyDescent="0.4">
      <c r="H60" s="29">
        <v>57</v>
      </c>
      <c r="I60" s="30" t="s">
        <v>342</v>
      </c>
      <c r="J60" s="30" t="s">
        <v>343</v>
      </c>
      <c r="K60" s="30" t="str">
        <f t="shared" si="0"/>
        <v>GBP8</v>
      </c>
      <c r="L60" s="31" t="str">
        <f t="shared" si="1"/>
        <v>p</v>
      </c>
      <c r="N60" s="4">
        <v>4507</v>
      </c>
    </row>
    <row r="61" spans="8:14" x14ac:dyDescent="0.4">
      <c r="H61" s="29">
        <v>58</v>
      </c>
      <c r="I61" s="30" t="s">
        <v>344</v>
      </c>
      <c r="J61" s="30" t="s">
        <v>345</v>
      </c>
      <c r="K61" s="30" t="str">
        <f t="shared" si="0"/>
        <v>GBV9</v>
      </c>
      <c r="L61" s="31" t="str">
        <f t="shared" si="1"/>
        <v>p</v>
      </c>
      <c r="N61" s="4">
        <v>4519</v>
      </c>
    </row>
    <row r="62" spans="8:14" x14ac:dyDescent="0.4">
      <c r="H62" s="29">
        <v>59</v>
      </c>
      <c r="I62" s="30" t="s">
        <v>346</v>
      </c>
      <c r="J62" s="30" t="s">
        <v>347</v>
      </c>
      <c r="K62" s="30" t="str">
        <f t="shared" si="0"/>
        <v>GBP9</v>
      </c>
      <c r="L62" s="31" t="str">
        <f t="shared" si="1"/>
        <v>p</v>
      </c>
      <c r="N62" s="4">
        <v>4523</v>
      </c>
    </row>
    <row r="63" spans="8:14" x14ac:dyDescent="0.4">
      <c r="H63" s="29">
        <v>60</v>
      </c>
      <c r="I63" s="30" t="s">
        <v>348</v>
      </c>
      <c r="J63" s="30" t="s">
        <v>349</v>
      </c>
      <c r="K63" s="30" t="str">
        <f t="shared" si="0"/>
        <v>GBV10</v>
      </c>
      <c r="L63" s="31" t="str">
        <f t="shared" si="1"/>
        <v>p</v>
      </c>
      <c r="N63" s="4">
        <v>4543</v>
      </c>
    </row>
    <row r="64" spans="8:14" x14ac:dyDescent="0.4">
      <c r="H64" s="29">
        <v>61</v>
      </c>
      <c r="I64" s="30" t="s">
        <v>350</v>
      </c>
      <c r="J64" s="30" t="s">
        <v>351</v>
      </c>
      <c r="K64" s="30" t="str">
        <f t="shared" si="0"/>
        <v>GBP10</v>
      </c>
      <c r="L64" s="31" t="str">
        <f t="shared" si="1"/>
        <v>p</v>
      </c>
      <c r="N64" s="4">
        <v>4568</v>
      </c>
    </row>
    <row r="65" spans="8:14" x14ac:dyDescent="0.4">
      <c r="H65" s="29">
        <v>62</v>
      </c>
      <c r="I65" s="30" t="s">
        <v>228</v>
      </c>
      <c r="J65" s="30" t="s">
        <v>229</v>
      </c>
      <c r="K65" s="30" t="str">
        <f t="shared" si="0"/>
        <v>LISS</v>
      </c>
      <c r="L65" s="31" t="str">
        <f t="shared" si="1"/>
        <v>x</v>
      </c>
      <c r="N65" s="4">
        <v>4578</v>
      </c>
    </row>
    <row r="66" spans="8:14" x14ac:dyDescent="0.4">
      <c r="H66" s="29">
        <v>63</v>
      </c>
      <c r="I66" s="30" t="s">
        <v>356</v>
      </c>
      <c r="J66" s="30" t="s">
        <v>357</v>
      </c>
      <c r="K66" s="30" t="str">
        <f t="shared" si="0"/>
        <v>PRP</v>
      </c>
      <c r="L66" s="31" t="str">
        <f t="shared" si="1"/>
        <v>p</v>
      </c>
      <c r="N66" s="4">
        <v>4631</v>
      </c>
    </row>
    <row r="67" spans="8:14" x14ac:dyDescent="0.4">
      <c r="H67" s="29">
        <v>64</v>
      </c>
      <c r="I67" s="30" t="s">
        <v>223</v>
      </c>
      <c r="J67" s="30" t="s">
        <v>251</v>
      </c>
      <c r="K67" s="30" t="str">
        <f t="shared" si="0"/>
        <v>QAP</v>
      </c>
      <c r="L67" s="31" t="str">
        <f t="shared" si="1"/>
        <v>p</v>
      </c>
      <c r="N67" s="4">
        <v>4689</v>
      </c>
    </row>
    <row r="68" spans="8:14" x14ac:dyDescent="0.4">
      <c r="H68" s="29">
        <v>65</v>
      </c>
      <c r="I68" s="30" t="s">
        <v>222</v>
      </c>
      <c r="J68" s="30" t="s">
        <v>250</v>
      </c>
      <c r="K68" s="30" t="str">
        <f t="shared" si="0"/>
        <v>QAS</v>
      </c>
      <c r="L68" s="31" t="str">
        <f t="shared" si="1"/>
        <v>p</v>
      </c>
      <c r="N68" s="4">
        <v>4704</v>
      </c>
    </row>
    <row r="69" spans="8:14" x14ac:dyDescent="0.4">
      <c r="H69" s="29">
        <v>66</v>
      </c>
      <c r="I69" s="30" t="s">
        <v>226</v>
      </c>
      <c r="J69" s="30" t="s">
        <v>254</v>
      </c>
      <c r="K69" s="30" t="str">
        <f t="shared" ref="K69:K73" si="2">MID(I69,2,LEN(I69)-1)</f>
        <v>QBP</v>
      </c>
      <c r="L69" s="31" t="str">
        <f t="shared" ref="L69:L73" si="3">LEFT(I69,1)</f>
        <v>p</v>
      </c>
      <c r="N69" s="4">
        <v>4751</v>
      </c>
    </row>
    <row r="70" spans="8:14" x14ac:dyDescent="0.4">
      <c r="H70" s="29">
        <v>67</v>
      </c>
      <c r="I70" s="30" t="s">
        <v>225</v>
      </c>
      <c r="J70" s="30" t="s">
        <v>253</v>
      </c>
      <c r="K70" s="30" t="str">
        <f t="shared" si="2"/>
        <v>QBS</v>
      </c>
      <c r="L70" s="31" t="str">
        <f t="shared" si="3"/>
        <v>p</v>
      </c>
      <c r="N70" s="4">
        <v>4755</v>
      </c>
    </row>
    <row r="71" spans="8:14" x14ac:dyDescent="0.4">
      <c r="H71" s="29">
        <v>68</v>
      </c>
      <c r="I71" s="30" t="s">
        <v>270</v>
      </c>
      <c r="J71" s="30" t="s">
        <v>271</v>
      </c>
      <c r="K71" s="30" t="str">
        <f t="shared" si="2"/>
        <v>QOV</v>
      </c>
      <c r="L71" s="31" t="str">
        <f t="shared" si="3"/>
        <v>p</v>
      </c>
      <c r="N71" s="4">
        <v>4901</v>
      </c>
    </row>
    <row r="72" spans="8:14" x14ac:dyDescent="0.4">
      <c r="H72" s="29">
        <v>69</v>
      </c>
      <c r="I72" s="30" t="s">
        <v>352</v>
      </c>
      <c r="J72" s="30" t="s">
        <v>353</v>
      </c>
      <c r="K72" s="30" t="str">
        <f t="shared" si="2"/>
        <v>QUV</v>
      </c>
      <c r="L72" s="31" t="str">
        <f t="shared" si="3"/>
        <v>p</v>
      </c>
      <c r="N72" s="4">
        <v>4902</v>
      </c>
    </row>
    <row r="73" spans="8:14" ht="19.5" thickBot="1" x14ac:dyDescent="0.45">
      <c r="H73" s="32">
        <v>70</v>
      </c>
      <c r="I73" s="33" t="s">
        <v>354</v>
      </c>
      <c r="J73" s="33" t="s">
        <v>355</v>
      </c>
      <c r="K73" s="33" t="str">
        <f t="shared" si="2"/>
        <v>VWAP</v>
      </c>
      <c r="L73" s="34"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2:G46"/>
  <sheetViews>
    <sheetView workbookViewId="0"/>
  </sheetViews>
  <sheetFormatPr defaultColWidth="11.25" defaultRowHeight="18.75" x14ac:dyDescent="0.4"/>
  <cols>
    <col min="2" max="2" width="29.25" customWidth="1"/>
    <col min="3" max="3" width="33.75" customWidth="1"/>
    <col min="4" max="4" width="34.5" customWidth="1"/>
    <col min="5" max="5" width="28.625" customWidth="1"/>
    <col min="6" max="6" width="34.125" customWidth="1"/>
    <col min="7" max="7" width="23.125" bestFit="1" customWidth="1"/>
    <col min="8" max="8" width="24.625" customWidth="1"/>
    <col min="9" max="9" width="23.125" bestFit="1" customWidth="1"/>
  </cols>
  <sheetData>
    <row r="2" spans="5:7" s="43" customFormat="1" ht="175.5" customHeight="1" x14ac:dyDescent="0.4"/>
    <row r="11" spans="5:7" x14ac:dyDescent="0.4">
      <c r="E11" s="42"/>
    </row>
    <row r="12" spans="5:7" x14ac:dyDescent="0.4">
      <c r="E12" s="35"/>
      <c r="G12" s="35"/>
    </row>
    <row r="14" spans="5:7" x14ac:dyDescent="0.4">
      <c r="E14" s="35"/>
      <c r="G14" s="35"/>
    </row>
    <row r="16" spans="5:7" x14ac:dyDescent="0.4">
      <c r="E16" s="35"/>
      <c r="G16" s="35"/>
    </row>
    <row r="22" spans="5:7" x14ac:dyDescent="0.4">
      <c r="E22" s="35"/>
      <c r="G22" s="35"/>
    </row>
    <row r="23" spans="5:7" x14ac:dyDescent="0.4">
      <c r="E23" s="35"/>
      <c r="G23" s="35"/>
    </row>
    <row r="24" spans="5:7" x14ac:dyDescent="0.4">
      <c r="E24" s="35"/>
      <c r="G24" s="35"/>
    </row>
    <row r="26" spans="5:7" x14ac:dyDescent="0.4">
      <c r="E26" s="35"/>
      <c r="G26" s="35"/>
    </row>
    <row r="32" spans="5:7" x14ac:dyDescent="0.4">
      <c r="E32" s="35"/>
      <c r="G32" s="35"/>
    </row>
    <row r="34" spans="5:7" x14ac:dyDescent="0.4">
      <c r="E34" s="35"/>
      <c r="G34" s="35"/>
    </row>
    <row r="36" spans="5:7" x14ac:dyDescent="0.4">
      <c r="E36" s="35"/>
      <c r="G36" s="35"/>
    </row>
    <row r="42" spans="5:7" x14ac:dyDescent="0.4">
      <c r="E42" s="35"/>
      <c r="G42" s="35"/>
    </row>
    <row r="44" spans="5:7" x14ac:dyDescent="0.4">
      <c r="E44" s="35"/>
      <c r="G44" s="35"/>
    </row>
    <row r="45" spans="5:7" x14ac:dyDescent="0.4">
      <c r="E45" s="35"/>
      <c r="G45" s="35"/>
    </row>
    <row r="46" spans="5:7" x14ac:dyDescent="0.4">
      <c r="E46" s="35"/>
      <c r="G46" s="35"/>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C47"/>
  <sheetViews>
    <sheetView workbookViewId="0"/>
  </sheetViews>
  <sheetFormatPr defaultColWidth="10.625" defaultRowHeight="18.75" x14ac:dyDescent="0.4"/>
  <sheetData>
    <row r="1" spans="2:3" x14ac:dyDescent="0.4">
      <c r="C1" s="7"/>
    </row>
    <row r="2" spans="2:3" x14ac:dyDescent="0.4">
      <c r="C2" s="7"/>
    </row>
    <row r="3" spans="2:3" x14ac:dyDescent="0.4">
      <c r="C3" s="7"/>
    </row>
    <row r="4" spans="2:3" x14ac:dyDescent="0.4">
      <c r="C4" s="7"/>
    </row>
    <row r="5" spans="2:3" x14ac:dyDescent="0.4">
      <c r="C5" s="7"/>
    </row>
    <row r="6" spans="2:3" x14ac:dyDescent="0.4">
      <c r="C6" s="7"/>
    </row>
    <row r="7" spans="2:3" x14ac:dyDescent="0.4">
      <c r="B7" s="7"/>
      <c r="C7" s="7"/>
    </row>
    <row r="8" spans="2:3" x14ac:dyDescent="0.4">
      <c r="C8" s="7"/>
    </row>
    <row r="9" spans="2:3" x14ac:dyDescent="0.4">
      <c r="C9" s="7"/>
    </row>
    <row r="10" spans="2:3" x14ac:dyDescent="0.4">
      <c r="C10" s="7"/>
    </row>
    <row r="11" spans="2:3" x14ac:dyDescent="0.4">
      <c r="C11" s="7"/>
    </row>
    <row r="12" spans="2:3" x14ac:dyDescent="0.4">
      <c r="C12" s="7"/>
    </row>
    <row r="13" spans="2:3" x14ac:dyDescent="0.4">
      <c r="C13" s="7"/>
    </row>
    <row r="14" spans="2:3" x14ac:dyDescent="0.4">
      <c r="C14" s="7"/>
    </row>
    <row r="15" spans="2:3" x14ac:dyDescent="0.4">
      <c r="C15" s="7"/>
    </row>
    <row r="16" spans="2:3" x14ac:dyDescent="0.4">
      <c r="C16" s="7"/>
    </row>
    <row r="17" spans="3:3" x14ac:dyDescent="0.4">
      <c r="C17" s="7"/>
    </row>
    <row r="18" spans="3:3" x14ac:dyDescent="0.4">
      <c r="C18" s="7"/>
    </row>
    <row r="19" spans="3:3" x14ac:dyDescent="0.4">
      <c r="C19" s="7"/>
    </row>
    <row r="20" spans="3:3" x14ac:dyDescent="0.4">
      <c r="C20" s="7"/>
    </row>
    <row r="21" spans="3:3" x14ac:dyDescent="0.4">
      <c r="C21" s="7"/>
    </row>
    <row r="22" spans="3:3" x14ac:dyDescent="0.4">
      <c r="C22" s="7"/>
    </row>
    <row r="23" spans="3:3" x14ac:dyDescent="0.4">
      <c r="C23" s="7"/>
    </row>
    <row r="24" spans="3:3" x14ac:dyDescent="0.4">
      <c r="C24" s="7"/>
    </row>
    <row r="25" spans="3:3" x14ac:dyDescent="0.4">
      <c r="C25" s="7"/>
    </row>
    <row r="26" spans="3:3" x14ac:dyDescent="0.4">
      <c r="C26" s="7"/>
    </row>
    <row r="27" spans="3:3" x14ac:dyDescent="0.4">
      <c r="C27" s="7"/>
    </row>
    <row r="28" spans="3:3" x14ac:dyDescent="0.4">
      <c r="C28" s="7"/>
    </row>
    <row r="29" spans="3:3" x14ac:dyDescent="0.4">
      <c r="C29" s="7"/>
    </row>
    <row r="30" spans="3:3" x14ac:dyDescent="0.4">
      <c r="C30" s="7"/>
    </row>
    <row r="31" spans="3:3" x14ac:dyDescent="0.4">
      <c r="C31" s="7"/>
    </row>
    <row r="32" spans="3:3" x14ac:dyDescent="0.4">
      <c r="C32" s="7"/>
    </row>
    <row r="33" spans="3:3" x14ac:dyDescent="0.4">
      <c r="C33" s="7"/>
    </row>
    <row r="34" spans="3:3" x14ac:dyDescent="0.4">
      <c r="C34" s="7"/>
    </row>
    <row r="35" spans="3:3" x14ac:dyDescent="0.4">
      <c r="C35" s="7"/>
    </row>
    <row r="36" spans="3:3" x14ac:dyDescent="0.4">
      <c r="C36" s="7"/>
    </row>
    <row r="37" spans="3:3" x14ac:dyDescent="0.4">
      <c r="C37" s="7"/>
    </row>
    <row r="38" spans="3:3" x14ac:dyDescent="0.4">
      <c r="C38" s="7"/>
    </row>
    <row r="39" spans="3:3" x14ac:dyDescent="0.4">
      <c r="C39" s="7"/>
    </row>
    <row r="40" spans="3:3" x14ac:dyDescent="0.4">
      <c r="C40" s="7"/>
    </row>
    <row r="41" spans="3:3" x14ac:dyDescent="0.4">
      <c r="C41" s="7"/>
    </row>
    <row r="42" spans="3:3" x14ac:dyDescent="0.4">
      <c r="C42" s="7"/>
    </row>
    <row r="43" spans="3:3" x14ac:dyDescent="0.4">
      <c r="C43" s="7"/>
    </row>
    <row r="44" spans="3:3" x14ac:dyDescent="0.4">
      <c r="C44" s="7"/>
    </row>
    <row r="45" spans="3:3" x14ac:dyDescent="0.4">
      <c r="C45" s="7"/>
    </row>
    <row r="46" spans="3:3" x14ac:dyDescent="0.4">
      <c r="C46" s="7"/>
    </row>
    <row r="47" spans="3:3" x14ac:dyDescent="0.4">
      <c r="C47" s="7"/>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e_API_read_me</vt:lpstr>
      <vt:lpstr>設定</vt:lpstr>
      <vt:lpstr>照会</vt:lpstr>
      <vt:lpstr>現物</vt:lpstr>
      <vt:lpstr>信用</vt:lpstr>
      <vt:lpstr>株価</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yoshio</cp:lastModifiedBy>
  <dcterms:created xsi:type="dcterms:W3CDTF">2021-07-30T00:58:19Z</dcterms:created>
  <dcterms:modified xsi:type="dcterms:W3CDTF">2022-12-06T01:54:15Z</dcterms:modified>
</cp:coreProperties>
</file>