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電話対応\"/>
    </mc:Choice>
  </mc:AlternateContent>
  <bookViews>
    <workbookView xWindow="0" yWindow="0" windowWidth="11415" windowHeight="7140" tabRatio="580"/>
  </bookViews>
  <sheets>
    <sheet name="e_API_read_me" sheetId="2" r:id="rId1"/>
    <sheet name="ログイン" sheetId="1" r:id="rId2"/>
    <sheet name="照会" sheetId="7" r:id="rId3"/>
    <sheet name="現物" sheetId="8" r:id="rId4"/>
    <sheet name="信用" sheetId="6" r:id="rId5"/>
    <sheet name="訂正取消" sheetId="11" r:id="rId6"/>
    <sheet name="株価" sheetId="9" r:id="rId7"/>
    <sheet name="マスター" sheetId="10" r:id="rId8"/>
    <sheet name="api_応答" sheetId="4" r:id="rId9"/>
    <sheet name="結果" sheetId="5" r:id="rId10"/>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 i="2" l="1"/>
  <c r="A95" i="2"/>
  <c r="A92" i="2"/>
  <c r="A90" i="2"/>
  <c r="B21" i="2" l="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20" i="2"/>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<sst xmlns="http://schemas.openxmlformats.org/spreadsheetml/2006/main" count="888" uniqueCount="562">
  <si>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</si>
  <si>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</si>
  <si>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</si>
  <si>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</si>
  <si>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</si>
  <si>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</si>
  <si>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</si>
  <si>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</si>
  <si>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</si>
  <si>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</si>
  <si>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</si>
  <si>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JsonConverter (Specs.bas)</t>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</si>
  <si>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</si>
  <si>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</si>
  <si>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</si>
  <si>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</si>
  <si>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</si>
  <si>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</si>
  <si>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</si>
  <si>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</si>
  <si>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</si>
  <si>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</si>
  <si>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</si>
  <si>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</si>
  <si>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</si>
  <si>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</si>
  <si>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６．利用方法</t>
    <rPh sb="2" eb="6">
      <t>リヨウホウホウ</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</si>
  <si>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</si>
  <si>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</si>
  <si>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</si>
  <si>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</si>
  <si>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</si>
  <si>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</si>
  <si>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</si>
  <si>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ログインＩＤ</t>
    <phoneticPr fontId="1"/>
  </si>
  <si>
    <t>ログイン用パスワード（第1）</t>
    <rPh sb="4" eb="5">
      <t>ヨウ</t>
    </rPh>
    <rPh sb="11" eb="12">
      <t>ダイ</t>
    </rPh>
    <phoneticPr fontId="1"/>
  </si>
  <si>
    <t>注文用パスワード1（第２）</t>
    <rPh sb="0" eb="3">
      <t>チュウモンヨウ</t>
    </rPh>
    <rPh sb="10" eb="11">
      <t>ダイ</t>
    </rPh>
    <phoneticPr fontId="1"/>
  </si>
  <si>
    <t>api接続url</t>
    <rPh sb="3" eb="5">
      <t>セツゾク</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</si>
  <si>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</si>
  <si>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</si>
  <si>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</si>
  <si>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</si>
  <si>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</si>
  <si>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sResultCode</t>
  </si>
  <si>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</si>
  <si>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</si>
  <si>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</si>
  <si>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</si>
  <si>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</si>
  <si>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</si>
  <si>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</si>
  <si>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</si>
  <si>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</si>
  <si>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</si>
  <si>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</si>
  <si>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</si>
  <si>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</si>
  <si>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</si>
  <si>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APIからの返信（注文取消で利用する。）</t>
    <rPh sb="6" eb="8">
      <t>ヘンシン</t>
    </rPh>
    <rPh sb="9" eb="13">
      <t>チュウモントリケ</t>
    </rPh>
    <rPh sb="14" eb="16">
      <t>リヨウ</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</si>
  <si>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</si>
  <si>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</si>
  <si>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</si>
  <si>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</si>
  <si>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</si>
  <si>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</si>
  <si>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</si>
  <si>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</si>
  <si>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</si>
  <si>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</si>
  <si>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</si>
  <si>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</si>
  <si>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</si>
  <si>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</si>
  <si>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</si>
  <si>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</si>
  <si>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CLMKabuCancelOrderAll</t>
  </si>
  <si>
    <t>CLMKabuNewOrder</t>
  </si>
  <si>
    <t>モジュール名</t>
    <rPh sb="5" eb="6">
      <t>メイ</t>
    </rPh>
    <phoneticPr fontId="1"/>
  </si>
  <si>
    <t>プロシージャー名</t>
    <rPh sb="7" eb="8">
      <t>メイ</t>
    </rPh>
    <phoneticPr fontId="1"/>
  </si>
  <si>
    <t>照会_信用_新規建可能額</t>
  </si>
  <si>
    <t>CLMOrderListDetail</t>
  </si>
  <si>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</si>
  <si>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</si>
  <si>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</si>
  <si>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</si>
  <si>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</si>
  <si>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</si>
  <si>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</si>
  <si>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</si>
  <si>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</si>
  <si>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</si>
  <si>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</si>
  <si>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</si>
  <si>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</si>
  <si>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</si>
  <si>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</si>
  <si>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</si>
  <si>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</si>
  <si>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</si>
  <si>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</si>
  <si>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</si>
  <si>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</si>
  <si>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</si>
  <si>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</si>
  <si>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</si>
  <si>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</si>
  <si>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</si>
  <si>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</si>
  <si>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</si>
  <si>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</si>
  <si>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</si>
  <si>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</si>
  <si>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</si>
  <si>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</si>
  <si>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</si>
  <si>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</si>
  <si>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</si>
  <si>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</si>
  <si>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</si>
  <si>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</si>
  <si>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</si>
  <si>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</si>
  <si>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</si>
  <si>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</si>
  <si>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</si>
  <si>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</si>
  <si>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</si>
  <si>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</si>
  <si>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</si>
  <si>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</si>
  <si>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</si>
  <si>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</si>
  <si>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</si>
  <si>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</si>
  <si>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</si>
  <si>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</si>
  <si>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</si>
  <si>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シート「設定」の色付きセルに接続先URL等必要な情報をテキストで記入する。</t>
    <rPh sb="4" eb="6">
      <t>セッテイ</t>
    </rPh>
    <rPh sb="8" eb="10">
      <t>イロツ</t>
    </rPh>
    <rPh sb="14" eb="17">
      <t>セツゾクサキ</t>
    </rPh>
    <rPh sb="20" eb="21">
      <t>トウ</t>
    </rPh>
    <rPh sb="21" eb="23">
      <t>ヒツヨウ</t>
    </rPh>
    <rPh sb="24" eb="26">
      <t>ジョウホウ</t>
    </rPh>
    <rPh sb="32" eb="34">
      <t>キニュウ</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</si>
  <si>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</si>
  <si>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e_api_注文訂正取消サンプル.xlsm</t>
  </si>
  <si>
    <t>e_api_共通</t>
  </si>
  <si>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</si>
  <si>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</si>
  <si>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</si>
  <si>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</si>
  <si>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</si>
  <si>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</si>
  <si>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</si>
  <si>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</si>
  <si>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</si>
  <si>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</si>
  <si>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</si>
  <si>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</si>
  <si>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</si>
  <si>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</si>
  <si>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</si>
  <si>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</si>
  <si>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</si>
  <si>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</si>
  <si>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</si>
  <si>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</si>
  <si>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</si>
  <si>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</si>
  <si>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</si>
  <si>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</si>
  <si>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</si>
  <si>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</si>
  <si>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</si>
  <si>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</si>
  <si>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</si>
  <si>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</si>
  <si>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</si>
  <si>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</si>
  <si>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</si>
  <si>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</si>
  <si>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</si>
  <si>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</si>
  <si>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</si>
  <si>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</si>
  <si>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</si>
  <si>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</si>
  <si>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本サンプルはｅ支店・ＡＰＩ の利用方法理解（学習）を主とし作成のため、不効率な部分があります。</t>
    <rPh sb="0" eb="1">
      <t>ホン</t>
    </rPh>
    <rPh sb="15" eb="17">
      <t>リヨウ</t>
    </rPh>
    <rPh sb="17" eb="19">
      <t>ホウホウ</t>
    </rPh>
    <rPh sb="19" eb="21">
      <t>リカイ</t>
    </rPh>
    <rPh sb="22" eb="24">
      <t>ガクシュウ</t>
    </rPh>
    <rPh sb="26" eb="27">
      <t>シュ</t>
    </rPh>
    <rPh sb="29" eb="31">
      <t>サクセイ</t>
    </rPh>
    <rPh sb="35" eb="38">
      <t>フコウリツ</t>
    </rPh>
    <rPh sb="39" eb="41">
      <t>ブブン</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</si>
  <si>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</si>
  <si>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</si>
  <si>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</si>
  <si>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</si>
  <si>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</si>
  <si>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７．ライセンス</t>
    <phoneticPr fontId="1"/>
  </si>
  <si>
    <t>シート「api_応答」に、APIへの送信テキストと返信データを出力します。</t>
  </si>
  <si>
    <t>８．責任</t>
    <rPh sb="2" eb="4">
      <t>セキニン</t>
    </rPh>
    <phoneticPr fontId="1"/>
  </si>
  <si>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</si>
  <si>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</si>
  <si>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</si>
  <si>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</si>
  <si>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</si>
  <si>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</si>
  <si>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</si>
  <si>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</si>
  <si>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</si>
  <si>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</si>
  <si>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</si>
  <si>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</si>
  <si>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</si>
  <si>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</si>
  <si>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</si>
  <si>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</si>
  <si>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</si>
  <si>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</si>
  <si>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</si>
  <si>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</si>
  <si>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</si>
  <si>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</si>
  <si>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</si>
  <si>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</si>
  <si>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</si>
  <si>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</si>
  <si>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</si>
  <si>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</si>
  <si>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</si>
  <si>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</si>
  <si>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</si>
  <si>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</si>
  <si>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</si>
  <si>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</si>
  <si>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</si>
  <si>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</si>
  <si>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</si>
  <si>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</si>
  <si>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</si>
  <si>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</si>
  <si>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</si>
  <si>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</si>
  <si>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</si>
  <si>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</si>
  <si>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</si>
  <si>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</si>
  <si>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</si>
  <si>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</si>
  <si>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</si>
  <si>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</si>
  <si>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</si>
  <si>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</si>
  <si>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</si>
  <si>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</si>
  <si>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</si>
  <si>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</si>
  <si>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</si>
  <si>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</si>
  <si>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</si>
  <si>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</si>
  <si>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</si>
  <si>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</si>
  <si>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</si>
  <si>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</si>
  <si>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</si>
  <si>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</si>
  <si>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</si>
  <si>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</si>
  <si>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</si>
  <si>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</si>
  <si>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</si>
  <si>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</si>
  <si>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</si>
  <si>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</si>
  <si>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</si>
  <si>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</si>
  <si>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</si>
  <si>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</si>
  <si>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</si>
  <si>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</si>
  <si>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</si>
  <si>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</si>
  <si>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</si>
  <si>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</si>
  <si>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</si>
  <si>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</si>
  <si>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</si>
  <si>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</si>
  <si>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</si>
  <si>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</si>
  <si>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</si>
  <si>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</si>
  <si>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</si>
  <si>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</si>
  <si>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</si>
  <si>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</si>
  <si>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</si>
  <si>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</si>
  <si>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</si>
  <si>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</si>
  <si>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</si>
  <si>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</si>
  <si>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</si>
  <si>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</si>
  <si>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</si>
  <si>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</si>
  <si>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</si>
  <si>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</si>
  <si>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</si>
  <si>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</si>
  <si>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</si>
  <si>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</si>
  <si>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</si>
  <si>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</si>
  <si>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</si>
  <si>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</si>
  <si>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</si>
  <si>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</si>
  <si>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</si>
  <si>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</si>
  <si>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</si>
  <si>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</si>
  <si>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</si>
  <si>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</si>
  <si>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</si>
  <si>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</si>
  <si>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</si>
  <si>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</si>
  <si>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</si>
  <si>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</si>
  <si>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</si>
  <si>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</si>
  <si>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</si>
  <si>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</si>
  <si>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</si>
  <si>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</si>
  <si>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</si>
  <si>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</si>
  <si>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</si>
  <si>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</si>
  <si>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</si>
  <si>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</si>
  <si>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</si>
  <si>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</si>
  <si>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</si>
  <si>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</si>
  <si>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</si>
  <si>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</si>
  <si>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p_err</t>
  </si>
  <si>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</si>
  <si>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</si>
  <si>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</si>
  <si>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</si>
  <si>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</si>
  <si>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</si>
  <si>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</si>
  <si>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</si>
  <si>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</si>
  <si>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00</t>
    <phoneticPr fontId="1"/>
  </si>
  <si>
    <t>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</si>
  <si>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</si>
  <si>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</si>
  <si>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</si>
  <si>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</si>
  <si>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</si>
  <si>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</si>
  <si>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</si>
  <si>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</si>
  <si>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</si>
  <si>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</si>
  <si>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</si>
  <si>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</si>
  <si>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</si>
  <si>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ｅ支店・ＡＰＩの現行バージョンは v4r3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</si>
  <si>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</si>
  <si>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</si>
  <si>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CLMMfdsGetMasterData</t>
  </si>
  <si>
    <t>get_master_kobetu_CLMIssueMstKabu</t>
  </si>
  <si>
    <t>マスター_個別　株式銘柄</t>
    <rPh sb="5" eb="7">
      <t>コベツ</t>
    </rPh>
    <rPh sb="8" eb="12">
      <t>カブシキメイガラ</t>
    </rPh>
    <phoneticPr fontId="1"/>
  </si>
  <si>
    <t>get_master_kobetu_CLMIssueSizyouMstKabu</t>
  </si>
  <si>
    <t>get_master_kobetu_CLMIssueMstSak</t>
  </si>
  <si>
    <t>マスター_個別　銘柄市場</t>
    <rPh sb="5" eb="7">
      <t>コベツ</t>
    </rPh>
    <rPh sb="8" eb="10">
      <t>メイガラ</t>
    </rPh>
    <rPh sb="10" eb="12">
      <t>シジョウ</t>
    </rPh>
    <phoneticPr fontId="1"/>
  </si>
  <si>
    <t>マスター_個別　先物</t>
    <rPh sb="5" eb="7">
      <t>コベツ</t>
    </rPh>
    <rPh sb="8" eb="10">
      <t>サキモノ</t>
    </rPh>
    <phoneticPr fontId="1"/>
  </si>
  <si>
    <t>get_master_kobetu_CLMIssueMstOp</t>
  </si>
  <si>
    <t>マスター_個別　OP</t>
    <rPh sb="5" eb="7">
      <t>コベツ</t>
    </rPh>
    <phoneticPr fontId="1"/>
  </si>
  <si>
    <t>マスター_個別　指数、為替、その他</t>
    <rPh sb="5" eb="7">
      <t>コベツ</t>
    </rPh>
    <phoneticPr fontId="1"/>
  </si>
  <si>
    <t>get_master_kobetu_CLMIssueMstOther</t>
  </si>
  <si>
    <t>get_master_kobetu_CLMOrderErrReason</t>
  </si>
  <si>
    <t>マスター_個別　日付情報</t>
    <rPh sb="5" eb="7">
      <t>コベツ</t>
    </rPh>
    <rPh sb="8" eb="12">
      <t>ヒヅケジョウホウ</t>
    </rPh>
    <phoneticPr fontId="1"/>
  </si>
  <si>
    <t>get_master_kobetu_CLMDateZyouhou</t>
  </si>
  <si>
    <t>CLMMfdsGetMarketPrice</t>
  </si>
  <si>
    <t>マスター</t>
    <phoneticPr fontId="1"/>
  </si>
  <si>
    <t>マスター_個別　株式銘柄</t>
  </si>
  <si>
    <t>マスター_個別　銘柄市場</t>
  </si>
  <si>
    <t>マスター_個別　先物</t>
  </si>
  <si>
    <t>マスター_個別　OP</t>
  </si>
  <si>
    <t>マスター_個別　指数、為替、その他</t>
  </si>
  <si>
    <t>マスター_個別　日付情報</t>
  </si>
  <si>
    <t>マスター_個別　取引所エラー理由コード</t>
    <phoneticPr fontId="1"/>
  </si>
  <si>
    <t>マスター_個別　取引所エラー理由コード</t>
    <rPh sb="5" eb="7">
      <t>コベツ</t>
    </rPh>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</si>
  <si>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</si>
  <si>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</si>
  <si>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</si>
  <si>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</si>
  <si>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</si>
  <si>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</si>
  <si>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YOUR_ID</t>
  </si>
  <si>
    <t>YOUR_PASSWORD_1</t>
  </si>
  <si>
    <t>YOUR_PASSWORD_2</t>
  </si>
  <si>
    <t>p_no</t>
    <phoneticPr fontId="1"/>
  </si>
  <si>
    <t>ログイン</t>
    <phoneticPr fontId="1"/>
  </si>
  <si>
    <t>ログイン</t>
    <phoneticPr fontId="1"/>
  </si>
  <si>
    <t>exec_CLMAuthLoginRequest</t>
    <phoneticPr fontId="1"/>
  </si>
  <si>
    <t>口座情報</t>
    <rPh sb="0" eb="4">
      <t>コウザジョウホウ</t>
    </rPh>
    <phoneticPr fontId="1"/>
  </si>
  <si>
    <t>p_err</t>
    <phoneticPr fontId="1"/>
  </si>
  <si>
    <t>APIからの返信</t>
  </si>
  <si>
    <t>exec_CLMAuthLogoutRequest</t>
    <phoneticPr fontId="1"/>
  </si>
  <si>
    <t>ログイン情報（API応答）</t>
    <rPh sb="4" eb="6">
      <t>ジョウホウ</t>
    </rPh>
    <rPh sb="10" eb="12">
      <t>オウトウ</t>
    </rPh>
    <phoneticPr fontId="1"/>
  </si>
  <si>
    <t>ログイン結果</t>
    <rPh sb="4" eb="6">
      <t>ケッカ</t>
    </rPh>
    <phoneticPr fontId="1"/>
  </si>
  <si>
    <t>sCLMID</t>
    <phoneticPr fontId="1"/>
  </si>
  <si>
    <t>p_errno</t>
    <phoneticPr fontId="1"/>
  </si>
  <si>
    <t>sResultCode</t>
    <phoneticPr fontId="1"/>
  </si>
  <si>
    <t>sResultText</t>
    <phoneticPr fontId="1"/>
  </si>
  <si>
    <t>書面更新日：
sUpdateInformWebDocument</t>
    <rPh sb="0" eb="5">
      <t>ショメンコウシンビ</t>
    </rPh>
    <phoneticPr fontId="1"/>
  </si>
  <si>
    <t>API更新日：
sUpdateInformAPISpecFunction</t>
    <rPh sb="3" eb="6">
      <t>コウシンビ</t>
    </rPh>
    <phoneticPr fontId="1"/>
  </si>
  <si>
    <t>p_no保存</t>
    <rPh sb="4" eb="6">
      <t>ホゾン</t>
    </rPh>
    <phoneticPr fontId="1"/>
  </si>
  <si>
    <t>p_no</t>
    <phoneticPr fontId="1"/>
  </si>
  <si>
    <t>sCLMID</t>
    <phoneticPr fontId="1"/>
  </si>
  <si>
    <t>p_err</t>
    <phoneticPr fontId="1"/>
  </si>
  <si>
    <t>sResultCode</t>
    <phoneticPr fontId="1"/>
  </si>
  <si>
    <t>sResultText</t>
    <phoneticPr fontId="1"/>
  </si>
  <si>
    <t>p_no</t>
    <phoneticPr fontId="1"/>
  </si>
  <si>
    <t>sResultText</t>
    <phoneticPr fontId="1"/>
  </si>
  <si>
    <t>p_errno</t>
    <phoneticPr fontId="1"/>
  </si>
  <si>
    <t>p_sd_date</t>
    <phoneticPr fontId="1"/>
  </si>
  <si>
    <t>CLMKabuCancelOrder</t>
  </si>
  <si>
    <t>注文_訂正</t>
    <rPh sb="0" eb="2">
      <t>チュウモン</t>
    </rPh>
    <phoneticPr fontId="1"/>
  </si>
  <si>
    <t>注文_一括取消</t>
    <rPh sb="0" eb="2">
      <t>チュウモン</t>
    </rPh>
    <phoneticPr fontId="1"/>
  </si>
  <si>
    <t>注文_取消</t>
    <rPh sb="0" eb="2">
      <t>チュウモン</t>
    </rPh>
    <phoneticPr fontId="1"/>
  </si>
  <si>
    <t>sResultCode</t>
    <phoneticPr fontId="1"/>
  </si>
  <si>
    <t>p_no</t>
    <phoneticPr fontId="1"/>
  </si>
  <si>
    <t>sCLMID</t>
    <phoneticPr fontId="1"/>
  </si>
  <si>
    <t>p_errno</t>
    <phoneticPr fontId="1"/>
  </si>
  <si>
    <t>p_err</t>
    <phoneticPr fontId="1"/>
  </si>
  <si>
    <t>sResultText</t>
    <phoneticPr fontId="1"/>
  </si>
  <si>
    <t>p_errno= 0: 正常に注文が処理された。0以外: 注文がエラーとなった。</t>
    <rPh sb="12" eb="14">
      <t>セイジョウ</t>
    </rPh>
    <rPh sb="15" eb="17">
      <t>チュウモン</t>
    </rPh>
    <rPh sb="18" eb="20">
      <t>ショリ</t>
    </rPh>
    <rPh sb="25" eb="27">
      <t>イガイ</t>
    </rPh>
    <rPh sb="29" eb="31">
      <t>チュウモン</t>
    </rPh>
    <phoneticPr fontId="1"/>
  </si>
  <si>
    <t>p_no</t>
    <phoneticPr fontId="1"/>
  </si>
  <si>
    <t>sCLMID</t>
    <phoneticPr fontId="1"/>
  </si>
  <si>
    <t>sResultCode</t>
    <phoneticPr fontId="1"/>
  </si>
  <si>
    <t>sResultText</t>
    <phoneticPr fontId="1"/>
  </si>
  <si>
    <t>p_errno</t>
    <phoneticPr fontId="1"/>
  </si>
  <si>
    <t>p_err</t>
    <phoneticPr fontId="1"/>
  </si>
  <si>
    <t>sResultText</t>
    <phoneticPr fontId="1"/>
  </si>
  <si>
    <t>2025.12.06-18:47:05.199</t>
  </si>
  <si>
    <t>p_no</t>
    <phoneticPr fontId="1"/>
  </si>
  <si>
    <t>p_sd_date</t>
    <phoneticPr fontId="1"/>
  </si>
  <si>
    <t>sResultCode</t>
    <phoneticPr fontId="1"/>
  </si>
  <si>
    <t>2025.12.12-09:32:10.384</t>
  </si>
  <si>
    <t>sResultText</t>
    <phoneticPr fontId="1"/>
  </si>
  <si>
    <t>CLMOrderList</t>
  </si>
  <si>
    <t>照会_現物_買付可能額</t>
    <phoneticPr fontId="1"/>
  </si>
  <si>
    <t>照会_注文約定一覧</t>
    <rPh sb="3" eb="7">
      <t>チュウモンヤクジョウ</t>
    </rPh>
    <rPh sb="7" eb="9">
      <t>イチラン</t>
    </rPh>
    <phoneticPr fontId="1"/>
  </si>
  <si>
    <t>照会_注文約定_詳細</t>
    <rPh sb="3" eb="7">
      <t>チュウモンヤクジョウ</t>
    </rPh>
    <rPh sb="8" eb="10">
      <t>ショウサイ</t>
    </rPh>
    <phoneticPr fontId="1"/>
  </si>
  <si>
    <t>get_order_list</t>
  </si>
  <si>
    <t>get_order_list_detail</t>
    <phoneticPr fontId="1"/>
  </si>
  <si>
    <t>CLMZanKaiKanougaku</t>
  </si>
  <si>
    <t>CLMZanShinkiKanoIjiritu</t>
  </si>
  <si>
    <t>p_sd_date</t>
    <phoneticPr fontId="1"/>
  </si>
  <si>
    <t>p_errno</t>
    <phoneticPr fontId="1"/>
  </si>
  <si>
    <t>p_errno</t>
    <phoneticPr fontId="1"/>
  </si>
  <si>
    <t>sResultText</t>
    <phoneticPr fontId="1"/>
  </si>
  <si>
    <t>2025.12.13-10:44:58.886</t>
  </si>
  <si>
    <t>p_no</t>
    <phoneticPr fontId="1"/>
  </si>
  <si>
    <t>p_sd_date</t>
    <phoneticPr fontId="1"/>
  </si>
  <si>
    <t>p_errno</t>
    <phoneticPr fontId="1"/>
  </si>
  <si>
    <t>2025.12.13-10:47:38.113</t>
  </si>
  <si>
    <t>p_no</t>
    <phoneticPr fontId="1"/>
  </si>
  <si>
    <t>p_errno</t>
    <phoneticPr fontId="1"/>
  </si>
  <si>
    <t>sResultText</t>
    <phoneticPr fontId="1"/>
  </si>
  <si>
    <t>2025.12.13-10:48:23.667</t>
  </si>
  <si>
    <t>sCLMID</t>
    <phoneticPr fontId="1"/>
  </si>
  <si>
    <t>sCLMID</t>
    <phoneticPr fontId="1"/>
  </si>
  <si>
    <t>p_err</t>
    <phoneticPr fontId="1"/>
  </si>
  <si>
    <t>2025.12.13-11:14:13.140</t>
  </si>
  <si>
    <t>p_sd_date</t>
    <phoneticPr fontId="1"/>
  </si>
  <si>
    <t>sResultCode</t>
    <phoneticPr fontId="1"/>
  </si>
  <si>
    <t>sResultText</t>
    <phoneticPr fontId="1"/>
  </si>
  <si>
    <t>2025.12.13-11:18:25.449</t>
  </si>
  <si>
    <t>sResultText</t>
    <phoneticPr fontId="1"/>
  </si>
  <si>
    <t>2025.12.13-11:57:03.806</t>
  </si>
  <si>
    <t>p_errno</t>
    <phoneticPr fontId="1"/>
  </si>
  <si>
    <t>sResultCode</t>
    <phoneticPr fontId="1"/>
  </si>
  <si>
    <t>sResultText</t>
    <phoneticPr fontId="1"/>
  </si>
  <si>
    <t>2025.12.13-12:00:29.289</t>
  </si>
  <si>
    <t>2025.12.13-12:01:33.003</t>
  </si>
  <si>
    <t>2025.12.13-12:01:38.040</t>
  </si>
  <si>
    <t>p_no</t>
    <phoneticPr fontId="1"/>
  </si>
  <si>
    <t>p_sd_date</t>
    <phoneticPr fontId="1"/>
  </si>
  <si>
    <t>sResultCode</t>
    <phoneticPr fontId="1"/>
  </si>
  <si>
    <t>sResultText</t>
    <phoneticPr fontId="1"/>
  </si>
  <si>
    <t>p_err</t>
    <phoneticPr fontId="1"/>
  </si>
  <si>
    <t>sResultText</t>
    <phoneticPr fontId="1"/>
  </si>
  <si>
    <t>2025.12.13-12:01:57.288</t>
  </si>
  <si>
    <t>p_no</t>
    <phoneticPr fontId="1"/>
  </si>
  <si>
    <t>p_sd_date</t>
    <phoneticPr fontId="1"/>
  </si>
  <si>
    <t>sCLMID</t>
    <phoneticPr fontId="1"/>
  </si>
  <si>
    <t>p_errno</t>
    <phoneticPr fontId="1"/>
  </si>
  <si>
    <t>sResultCode</t>
    <phoneticPr fontId="1"/>
  </si>
  <si>
    <t>sResultText</t>
    <phoneticPr fontId="1"/>
  </si>
  <si>
    <t>2025.12.13-12:02:15.910</t>
  </si>
  <si>
    <t>※株価データは「結果」シートに出力。</t>
    <rPh sb="1" eb="3">
      <t>カブカ</t>
    </rPh>
    <rPh sb="8" eb="10">
      <t>ケッカ</t>
    </rPh>
    <rPh sb="15" eb="17">
      <t>シュツリョク</t>
    </rPh>
    <phoneticPr fontId="1"/>
  </si>
  <si>
    <t>p_sd_date</t>
    <phoneticPr fontId="1"/>
  </si>
  <si>
    <t>p_errno</t>
    <phoneticPr fontId="1"/>
  </si>
  <si>
    <t>p_err</t>
    <phoneticPr fontId="1"/>
  </si>
  <si>
    <t>2025.12.17-08:55:44.213</t>
  </si>
  <si>
    <t>p_no</t>
    <phoneticPr fontId="1"/>
  </si>
  <si>
    <t>p_sd_date</t>
    <phoneticPr fontId="1"/>
  </si>
  <si>
    <t>sCLMID</t>
    <phoneticPr fontId="1"/>
  </si>
  <si>
    <t>p_errno</t>
    <phoneticPr fontId="1"/>
  </si>
  <si>
    <t>sResultCode</t>
    <phoneticPr fontId="1"/>
  </si>
  <si>
    <t>sResultText</t>
    <phoneticPr fontId="1"/>
  </si>
  <si>
    <t>2025.12.17-08:56:22.388</t>
  </si>
  <si>
    <t>p_no</t>
    <phoneticPr fontId="1"/>
  </si>
  <si>
    <t>p_no</t>
    <phoneticPr fontId="1"/>
  </si>
  <si>
    <t>p_err</t>
    <phoneticPr fontId="1"/>
  </si>
  <si>
    <t>p_no</t>
    <phoneticPr fontId="1"/>
  </si>
  <si>
    <t>2025.12.17-12:13:31.856</t>
  </si>
  <si>
    <t>sCLMID</t>
    <phoneticPr fontId="1"/>
  </si>
  <si>
    <t>p_err</t>
    <phoneticPr fontId="1"/>
  </si>
  <si>
    <t>sResultCode</t>
    <phoneticPr fontId="1"/>
  </si>
  <si>
    <t>p_no</t>
    <phoneticPr fontId="1"/>
  </si>
  <si>
    <t>p_sd_date</t>
    <phoneticPr fontId="1"/>
  </si>
  <si>
    <t>p_errno</t>
    <phoneticPr fontId="1"/>
  </si>
  <si>
    <t>p_err</t>
    <phoneticPr fontId="1"/>
  </si>
  <si>
    <t>2025.12.17-13:29:57.077</t>
  </si>
  <si>
    <t>p_sd_date</t>
    <phoneticPr fontId="1"/>
  </si>
  <si>
    <t>sCLMID</t>
    <phoneticPr fontId="1"/>
  </si>
  <si>
    <t>p_err</t>
    <phoneticPr fontId="1"/>
  </si>
  <si>
    <t>sResultCode</t>
    <phoneticPr fontId="1"/>
  </si>
  <si>
    <t>sResultText</t>
    <phoneticPr fontId="1"/>
  </si>
  <si>
    <t>2025.12.17-13:47:40.651</t>
  </si>
  <si>
    <t>sCLMID</t>
    <phoneticPr fontId="1"/>
  </si>
  <si>
    <t>p_err</t>
    <phoneticPr fontId="1"/>
  </si>
  <si>
    <t>sResultCode</t>
    <phoneticPr fontId="1"/>
  </si>
  <si>
    <t>sResultText</t>
    <phoneticPr fontId="1"/>
  </si>
  <si>
    <t>2025.12.17-13:48:52.745</t>
  </si>
  <si>
    <t>2025.12.17-13:49:18.569</t>
  </si>
  <si>
    <t>p_no</t>
    <phoneticPr fontId="1"/>
  </si>
  <si>
    <t>sCLMID</t>
    <phoneticPr fontId="1"/>
  </si>
  <si>
    <t>p_errno</t>
    <phoneticPr fontId="1"/>
  </si>
  <si>
    <t>2025.12.17-14:08:56.239</t>
  </si>
  <si>
    <t>p_no</t>
    <phoneticPr fontId="1"/>
  </si>
  <si>
    <t>p_sd_date</t>
    <phoneticPr fontId="1"/>
  </si>
  <si>
    <t>sCLMID</t>
    <phoneticPr fontId="1"/>
  </si>
  <si>
    <t>2025.12.17-14:09:42.113</t>
  </si>
  <si>
    <t>p_errno</t>
    <phoneticPr fontId="1"/>
  </si>
  <si>
    <t>2025.12.17-14:10:06.644</t>
  </si>
  <si>
    <t>2025.12.17-14:11:13.111</t>
  </si>
  <si>
    <t>sResultCode</t>
    <phoneticPr fontId="1"/>
  </si>
  <si>
    <t>2025.12.17</t>
    <phoneticPr fontId="1"/>
  </si>
  <si>
    <t>Microsoft Windows11 Professional 64bit、EXCEL 2016.</t>
    <phoneticPr fontId="1"/>
  </si>
  <si>
    <t>最初にログインを実行してください。仮想URL等のログイン応答が「ログインシート」に保存されます。</t>
    <rPh sb="0" eb="2">
      <t>サイショ</t>
    </rPh>
    <rPh sb="8" eb="10">
      <t>ジッコウ</t>
    </rPh>
    <rPh sb="17" eb="19">
      <t>カソウ</t>
    </rPh>
    <rPh sb="22" eb="23">
      <t>トウ</t>
    </rPh>
    <rPh sb="28" eb="30">
      <t>オウトウ</t>
    </rPh>
    <rPh sb="41" eb="43">
      <t>ホゾン</t>
    </rPh>
    <phoneticPr fontId="1"/>
  </si>
  <si>
    <t>ログインを実行した後、シート「照会」「現物」「信用」等の各ボタンを押して起動してください。</t>
    <rPh sb="5" eb="7">
      <t>ジッコウ</t>
    </rPh>
    <rPh sb="9" eb="10">
      <t>アト</t>
    </rPh>
    <rPh sb="15" eb="17">
      <t>ショウカイ</t>
    </rPh>
    <rPh sb="19" eb="21">
      <t>ゲンブツ</t>
    </rPh>
    <rPh sb="23" eb="25">
      <t>シンヨウ</t>
    </rPh>
    <rPh sb="26" eb="27">
      <t>ナド</t>
    </rPh>
    <rPh sb="28" eb="29">
      <t>カク</t>
    </rPh>
    <rPh sb="33" eb="34">
      <t>オ</t>
    </rPh>
    <rPh sb="36" eb="38">
      <t>キドウ</t>
    </rPh>
    <phoneticPr fontId="1"/>
  </si>
  <si>
    <t>API：</t>
    <phoneticPr fontId="1"/>
  </si>
  <si>
    <t>https://kabuka.e-shiten.jp/e_api_v4r8/</t>
  </si>
  <si>
    <t>https://demo-kabuka.e-shiten.jp/e_api_v4r8/</t>
  </si>
  <si>
    <t>　本番環境で利用する場合は、API用の電話認証を実行してください。</t>
    <rPh sb="1" eb="5">
      <t>ホンバンカンキョウ</t>
    </rPh>
    <rPh sb="6" eb="8">
      <t>リヨウ</t>
    </rPh>
    <rPh sb="10" eb="12">
      <t>バアイ</t>
    </rPh>
    <rPh sb="17" eb="18">
      <t>ヨウ</t>
    </rPh>
    <rPh sb="19" eb="23">
      <t>デンワニンショウ</t>
    </rPh>
    <rPh sb="24" eb="26">
      <t>ジッコウ</t>
    </rPh>
    <phoneticPr fontId="1"/>
  </si>
  <si>
    <t>2025.12.18-11:13:47.534</t>
  </si>
  <si>
    <t>CLMAuthLoginAck</t>
  </si>
  <si>
    <t xml:space="preserve">{
	"p_sd_date":"2025.12.18-11:13:47.534",
	"p_no":"1",
	"p_rv_date":"2025.12.18-11:13:47.324",
	"p_errno":"0",
	"p_err":"",
	"sCLMID":"CLMAuthLoginAck",
	"sResultCode":"0",
	"sResultText":"",
	"sZyoutoekiKazeiC":"1",
	"sSecondPasswordOmit":"0",
	"sLastLoginDate":"20251218105320",
	"sSogoKouzaKubun":"1",
	"sHogoAdukariKouzaKubun":"1",
	"sFurikaeKouzaKubun":"1",
	"sGaikokuKouzaKubun":"1",
	"sMRFKouzaKubun":"0",
	"sTokuteiKouzaKubunGenbutu":"1",
	"sTokuteiKouzaKubunSinyou":"1",
	"sTokuteiKouzaKubunTousin":"0",
	"sTokuteiHaitouKouzaKubun":"1",
	"sTokuteiKanriKouzaKubun":"0",
	"sSinyouKouzaKubun":"1",
	"sSakopKouzaKubun":"0",
	"sMMFKouzaKubun":"0",
	"sTyukokufKouzaKubun":"0",
	"sKawaseKouzaKubun":"0",
	"sHikazeiKouzaKubun":"1",
	"sKinsyouhouMidokuFlg":"0",
	"sUrlRequest":"https://demo-kabuka.e-shiten.jp/e_api_v4r8/request/MzI0NDcxMzExMTgxMi0xMTYtMTc5MTA=/",
	"sUrlMaster":"https://demo-kabuka.e-shiten.jp/e_api_v4r8/master/MzI0NDcxMzExMTgxMi0xMTYtMTc5MTA=/",
	"sUrlPrice":"https://demo-kabuka.e-shiten.jp/e_api_v4r8/price/MzI0NDcxMzExMTgxMi0xMTYtMTc5MTA=/",
	"sUrlEvent":"https://demo-kabuka.e-shiten.jp/e_api_v4r8/event/MzI0NDcxMzExMTgxMi0xMTYtMTc5MTA=/",
	"sUrlEventWebSocket":"wss://demo-kabuka.e-shiten.jp/e_api_v4r8/event_ws/MzI0NDcxMzExMTgxMi0xMTYtMTc5MTA=/",
	"sUpdateInformWebDocument":"20241103",
	"sUpdateInformAPISpecFunction":"20241103"
}
</t>
  </si>
  <si>
    <t>sCLMID</t>
    <phoneticPr fontId="1"/>
  </si>
  <si>
    <t>sResultText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</si>
</sst>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_);[Red]\(0\)"/>
    <numFmt numFmtId="177" formatCode="#,##0_ "/>
    <numFmt numFmtId="178" formatCode="0_ "/>
  </numFmts>
  <fonts count="18"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b/>
      <sz val="11"/>
      <color rgb="FF000000"/>
      <name val="游ゴシック"/>
      <family val="3"/>
      <charset val="128"/>
    </font>
    <font>
      <strike/>
      <sz val="10"/>
      <color theme="1"/>
      <name val="游ゴシック"/>
      <family val="3"/>
      <charset val="128"/>
      <scheme val="minor"/>
    </font>
    <font>
      <sz val="11"/>
      <color theme="1"/>
      <name val="IPA明朝"/>
      <family val="1"/>
      <charset val="128"/>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58">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6"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xf numFmtId="0" fontId="0" fillId="3" borderId="0" xfId="0" applyFill="1" applyAlignment="1">
      <alignment vertical="center" wrapText="1"/>
    </xf>
    <xf numFmtId="0" fontId="0" fillId="0" borderId="0" xfId="0" applyAlignment="1">
      <alignment horizontal="left" vertical="center" wrapText="1"/>
    </xf>
    <xf numFmtId="0" fontId="0" fillId="0" borderId="0" xfId="0" applyAlignment="1">
      <alignment horizontal="left" vertical="center"/>
    </xf>
    <xf numFmtId="0" fontId="17" fillId="0" borderId="0" xfId="0" applyNumberFormat="1" applyFont="1">
      <alignment vertical="center"/>
    </xf>
    <xf numFmtId="178" fontId="0" fillId="0" borderId="0" xfId="0" applyNumberFormat="1">
      <alignment vertical="center"/>
    </xf>
    <xf numFmtId="178" fontId="0" fillId="2" borderId="0" xfId="0" quotePrefix="1" applyNumberFormat="1" applyFill="1">
      <alignment vertical="center"/>
    </xf>
    <xf numFmtId="178" fontId="0" fillId="0" borderId="0" xfId="0" applyNumberFormat="1" applyAlignment="1">
      <alignment vertical="center" wrapText="1"/>
    </xf>
    <xf numFmtId="0" fontId="0" fillId="3" borderId="0" xfId="0" applyFill="1" applyAlignment="1">
      <alignment vertical="center"/>
    </xf>
    <xf numFmtId="178" fontId="0" fillId="0" borderId="0" xfId="0" applyNumberFormat="1" applyFill="1">
      <alignment vertical="center"/>
    </xf>
    <xf numFmtId="0" fontId="0" fillId="0" borderId="0" xfId="0" quotePrefix="1" applyNumberFormat="1">
      <alignment vertical="center"/>
    </xf>
    <xf numFmtId="0" fontId="0" fillId="0" borderId="0" xfId="0" applyAlignme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ログイン</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ログアウト</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株式銘柄</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2</xdr:row>
          <xdr:rowOff>95250</xdr:rowOff>
        </xdr:from>
        <xdr:to>
          <xdr:col>5</xdr:col>
          <xdr:colOff>2028825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銘柄市場</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OP</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2343150</xdr:colOff>
          <xdr:row>2</xdr:row>
          <xdr:rowOff>733425</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指数、為替、その他</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2695575</xdr:colOff>
          <xdr:row>2</xdr:row>
          <xdr:rowOff>733425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取引所エラー理由コード</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2343150</xdr:colOff>
          <xdr:row>2</xdr:row>
          <xdr:rowOff>733425</xdr:rowOff>
        </xdr:to>
        <xdr:sp macro="" textlink="">
          <xdr:nvSpPr>
            <xdr:cNvPr id="15374" name="Button 14" hidden="1">
              <a:extLst>
                <a:ext uri="{63B3BB69-23CF-44E3-9099-C40C66FF867C}">
                  <a14:compatExt spid="_x0000_s153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日付情報</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CLMDateZyouhou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ctrlProp" Target="../ctrlProps/ctrlProp22.xml"/><Relationship Id="rId7" Type="http://schemas.openxmlformats.org/officeDocument/2006/relationships/ctrlProp" Target="../ctrlProps/ctrlProp26.xml"/><Relationship Id="rId12" Type="http://schemas.openxmlformats.org/officeDocument/2006/relationships/ctrlProp" Target="../ctrlProps/ctrlProp31.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6"/>
  <sheetViews>
    <sheetView tabSelected="1" zoomScaleNormal="100" workbookViewId="0"/>
  </sheetViews>
  <sheetFormatPr defaultRowHeight="16.5" x14ac:dyDescent="0.4"/>
  <cols>
    <col min="1" max="1" width="4.625" style="1" customWidth="1"/>
    <col min="2" max="2" width="24.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45</v>
      </c>
      <c r="J1" s="1" t="s">
        <v>0</v>
      </c>
      <c r="K1" s="2" t="s">
        <v>48</v>
      </c>
      <c r="L1" s="1" t="s">
        <v>1</v>
      </c>
    </row>
    <row r="2" spans="1:12" x14ac:dyDescent="0.4">
      <c r="J2" s="1" t="s">
        <v>2</v>
      </c>
      <c r="K2" s="2" t="s">
        <v>549</v>
      </c>
      <c r="L2" s="1" t="s">
        <v>1</v>
      </c>
    </row>
    <row r="3" spans="1:12" x14ac:dyDescent="0.4">
      <c r="A3" s="1" t="s">
        <v>3</v>
      </c>
      <c r="K3" s="2"/>
    </row>
    <row r="4" spans="1:12" x14ac:dyDescent="0.4">
      <c r="B4" s="1" t="s">
        <v>4</v>
      </c>
      <c r="K4" s="2"/>
    </row>
    <row r="5" spans="1:12" x14ac:dyDescent="0.4">
      <c r="B5" s="1" t="s">
        <v>46</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139</v>
      </c>
      <c r="C14" s="1" t="s">
        <v>9</v>
      </c>
      <c r="D14" s="1" t="s">
        <v>10</v>
      </c>
      <c r="K14" s="2"/>
    </row>
    <row r="15" spans="1:12" x14ac:dyDescent="0.4">
      <c r="A15" s="1">
        <v>2</v>
      </c>
      <c r="B15" s="1" t="s">
        <v>11</v>
      </c>
      <c r="C15" s="1" t="s">
        <v>12</v>
      </c>
      <c r="D15" s="1" t="s">
        <v>13</v>
      </c>
      <c r="K15" s="2"/>
    </row>
    <row r="16" spans="1:12" x14ac:dyDescent="0.4">
      <c r="A16" s="1">
        <v>3</v>
      </c>
      <c r="B16" s="1" t="s">
        <v>140</v>
      </c>
      <c r="K16" s="2"/>
    </row>
    <row r="17" spans="1:11" x14ac:dyDescent="0.4">
      <c r="A17" s="1">
        <v>4</v>
      </c>
      <c r="B17" s="1" t="s">
        <v>160</v>
      </c>
      <c r="K17" s="2"/>
    </row>
    <row r="18" spans="1:11" x14ac:dyDescent="0.4">
      <c r="C18" s="21" t="s">
        <v>162</v>
      </c>
      <c r="D18" s="1" t="s">
        <v>161</v>
      </c>
      <c r="E18" s="1" t="s">
        <v>164</v>
      </c>
      <c r="K18" s="2"/>
    </row>
    <row r="19" spans="1:11" x14ac:dyDescent="0.4">
      <c r="B19" s="1">
        <v>1</v>
      </c>
      <c r="C19" s="44" t="s">
        <v>400</v>
      </c>
      <c r="D19" s="1" t="s">
        <v>141</v>
      </c>
      <c r="E19" s="1" t="s">
        <v>165</v>
      </c>
      <c r="K19" s="2"/>
    </row>
    <row r="20" spans="1:11" x14ac:dyDescent="0.4">
      <c r="B20" s="1">
        <f>B19+1</f>
        <v>2</v>
      </c>
      <c r="C20" s="44" t="s">
        <v>400</v>
      </c>
      <c r="D20" s="1" t="s">
        <v>142</v>
      </c>
      <c r="E20" s="1" t="s">
        <v>166</v>
      </c>
      <c r="K20" s="2"/>
    </row>
    <row r="21" spans="1:11" x14ac:dyDescent="0.4">
      <c r="B21" s="1">
        <f t="shared" ref="B21:B46" si="0">B20+1</f>
        <v>3</v>
      </c>
      <c r="C21" s="45" t="s">
        <v>173</v>
      </c>
      <c r="D21" s="1" t="s">
        <v>146</v>
      </c>
      <c r="E21" s="1" t="s">
        <v>171</v>
      </c>
      <c r="K21" s="2"/>
    </row>
    <row r="22" spans="1:11" x14ac:dyDescent="0.4">
      <c r="B22" s="1">
        <f t="shared" si="0"/>
        <v>4</v>
      </c>
      <c r="C22" s="45" t="s">
        <v>173</v>
      </c>
      <c r="D22" s="1" t="s">
        <v>79</v>
      </c>
      <c r="E22" s="1" t="s">
        <v>172</v>
      </c>
      <c r="K22" s="2"/>
    </row>
    <row r="23" spans="1:11" x14ac:dyDescent="0.4">
      <c r="B23" s="1">
        <f t="shared" si="0"/>
        <v>5</v>
      </c>
      <c r="C23" s="45" t="s">
        <v>173</v>
      </c>
      <c r="D23" s="1" t="s">
        <v>147</v>
      </c>
      <c r="E23" s="1" t="s">
        <v>148</v>
      </c>
      <c r="K23" s="2"/>
    </row>
    <row r="24" spans="1:11" x14ac:dyDescent="0.4">
      <c r="B24" s="1">
        <f t="shared" si="0"/>
        <v>6</v>
      </c>
      <c r="C24" s="45" t="s">
        <v>173</v>
      </c>
      <c r="D24" s="1" t="s">
        <v>149</v>
      </c>
      <c r="E24" s="1" t="s">
        <v>150</v>
      </c>
      <c r="K24" s="2"/>
    </row>
    <row r="25" spans="1:11" x14ac:dyDescent="0.4">
      <c r="B25" s="1">
        <f t="shared" si="0"/>
        <v>7</v>
      </c>
      <c r="C25" s="45" t="s">
        <v>163</v>
      </c>
      <c r="D25" s="1" t="s">
        <v>144</v>
      </c>
      <c r="E25" s="1" t="s">
        <v>169</v>
      </c>
      <c r="K25" s="2"/>
    </row>
    <row r="26" spans="1:11" x14ac:dyDescent="0.4">
      <c r="B26" s="1">
        <f t="shared" si="0"/>
        <v>8</v>
      </c>
      <c r="C26" s="45" t="s">
        <v>163</v>
      </c>
      <c r="D26" s="1" t="s">
        <v>99</v>
      </c>
      <c r="E26" s="1" t="s">
        <v>100</v>
      </c>
      <c r="K26" s="2"/>
    </row>
    <row r="27" spans="1:11" x14ac:dyDescent="0.4">
      <c r="B27" s="1">
        <f t="shared" si="0"/>
        <v>9</v>
      </c>
      <c r="C27" s="45" t="s">
        <v>163</v>
      </c>
      <c r="D27" s="1" t="s">
        <v>143</v>
      </c>
      <c r="E27" s="1" t="s">
        <v>101</v>
      </c>
      <c r="K27" s="2"/>
    </row>
    <row r="28" spans="1:11" x14ac:dyDescent="0.4">
      <c r="B28" s="1">
        <f t="shared" si="0"/>
        <v>10</v>
      </c>
      <c r="C28" s="45" t="s">
        <v>163</v>
      </c>
      <c r="D28" s="1" t="s">
        <v>102</v>
      </c>
      <c r="E28" s="1" t="s">
        <v>167</v>
      </c>
      <c r="K28" s="2"/>
    </row>
    <row r="29" spans="1:11" x14ac:dyDescent="0.4">
      <c r="B29" s="1">
        <f t="shared" si="0"/>
        <v>11</v>
      </c>
      <c r="C29" s="45" t="s">
        <v>163</v>
      </c>
      <c r="D29" s="1" t="s">
        <v>145</v>
      </c>
      <c r="E29" s="1" t="s">
        <v>170</v>
      </c>
      <c r="K29" s="2"/>
    </row>
    <row r="30" spans="1:11" x14ac:dyDescent="0.4">
      <c r="B30" s="1">
        <f t="shared" si="0"/>
        <v>12</v>
      </c>
      <c r="C30" s="45" t="s">
        <v>163</v>
      </c>
      <c r="D30" s="1" t="s">
        <v>103</v>
      </c>
      <c r="E30" s="1" t="s">
        <v>104</v>
      </c>
      <c r="K30" s="2"/>
    </row>
    <row r="31" spans="1:11" x14ac:dyDescent="0.4">
      <c r="B31" s="1">
        <f t="shared" si="0"/>
        <v>13</v>
      </c>
      <c r="C31" s="45" t="s">
        <v>174</v>
      </c>
      <c r="D31" s="1" t="s">
        <v>108</v>
      </c>
      <c r="E31" s="1" t="s">
        <v>109</v>
      </c>
      <c r="K31" s="2"/>
    </row>
    <row r="32" spans="1:11" x14ac:dyDescent="0.4">
      <c r="B32" s="1">
        <f t="shared" si="0"/>
        <v>14</v>
      </c>
      <c r="C32" s="45" t="s">
        <v>174</v>
      </c>
      <c r="D32" s="1" t="s">
        <v>152</v>
      </c>
      <c r="E32" s="1" t="s">
        <v>153</v>
      </c>
      <c r="K32" s="2"/>
    </row>
    <row r="33" spans="2:11" x14ac:dyDescent="0.4">
      <c r="B33" s="1">
        <f t="shared" si="0"/>
        <v>15</v>
      </c>
      <c r="C33" s="45" t="s">
        <v>174</v>
      </c>
      <c r="D33" s="1" t="s">
        <v>151</v>
      </c>
      <c r="E33" s="1" t="s">
        <v>122</v>
      </c>
      <c r="K33" s="2"/>
    </row>
    <row r="34" spans="2:11" x14ac:dyDescent="0.4">
      <c r="B34" s="1">
        <f t="shared" si="0"/>
        <v>16</v>
      </c>
      <c r="C34" s="45" t="s">
        <v>174</v>
      </c>
      <c r="D34" s="1" t="s">
        <v>154</v>
      </c>
      <c r="E34" s="1" t="s">
        <v>155</v>
      </c>
      <c r="K34" s="2"/>
    </row>
    <row r="35" spans="2:11" x14ac:dyDescent="0.4">
      <c r="B35" s="1">
        <f t="shared" si="0"/>
        <v>17</v>
      </c>
      <c r="C35" s="45" t="s">
        <v>174</v>
      </c>
      <c r="D35" s="1" t="s">
        <v>156</v>
      </c>
      <c r="E35" s="1" t="s">
        <v>157</v>
      </c>
      <c r="K35" s="2"/>
    </row>
    <row r="36" spans="2:11" x14ac:dyDescent="0.4">
      <c r="B36" s="1">
        <f t="shared" si="0"/>
        <v>18</v>
      </c>
      <c r="C36" s="45" t="s">
        <v>174</v>
      </c>
      <c r="D36" s="1" t="s">
        <v>175</v>
      </c>
      <c r="E36" s="1" t="s">
        <v>176</v>
      </c>
      <c r="K36" s="2"/>
    </row>
    <row r="37" spans="2:11" x14ac:dyDescent="0.4">
      <c r="B37" s="1">
        <f t="shared" si="0"/>
        <v>19</v>
      </c>
      <c r="C37" s="45" t="s">
        <v>174</v>
      </c>
      <c r="D37" s="1" t="s">
        <v>158</v>
      </c>
      <c r="E37" s="1" t="s">
        <v>159</v>
      </c>
      <c r="K37" s="2"/>
    </row>
    <row r="38" spans="2:11" x14ac:dyDescent="0.4">
      <c r="B38" s="1">
        <f t="shared" si="0"/>
        <v>20</v>
      </c>
      <c r="C38" s="45" t="s">
        <v>358</v>
      </c>
      <c r="D38" s="1" t="s">
        <v>359</v>
      </c>
      <c r="E38" s="1" t="s">
        <v>361</v>
      </c>
      <c r="K38" s="2"/>
    </row>
    <row r="39" spans="2:11" x14ac:dyDescent="0.4">
      <c r="B39" s="1">
        <f t="shared" si="0"/>
        <v>21</v>
      </c>
      <c r="C39" s="45" t="s">
        <v>358</v>
      </c>
      <c r="D39" s="1" t="s">
        <v>360</v>
      </c>
      <c r="E39" s="1" t="s">
        <v>362</v>
      </c>
      <c r="K39" s="2"/>
    </row>
    <row r="40" spans="2:11" x14ac:dyDescent="0.4">
      <c r="B40" s="1">
        <f t="shared" si="0"/>
        <v>22</v>
      </c>
      <c r="C40" s="45" t="s">
        <v>381</v>
      </c>
      <c r="D40" s="1" t="s">
        <v>382</v>
      </c>
      <c r="E40" s="1" t="s">
        <v>367</v>
      </c>
      <c r="K40" s="2"/>
    </row>
    <row r="41" spans="2:11" x14ac:dyDescent="0.4">
      <c r="B41" s="1">
        <f t="shared" si="0"/>
        <v>23</v>
      </c>
      <c r="C41" s="45" t="s">
        <v>381</v>
      </c>
      <c r="D41" s="1" t="s">
        <v>383</v>
      </c>
      <c r="E41" s="1" t="s">
        <v>369</v>
      </c>
      <c r="K41" s="2"/>
    </row>
    <row r="42" spans="2:11" x14ac:dyDescent="0.4">
      <c r="B42" s="1">
        <f t="shared" si="0"/>
        <v>24</v>
      </c>
      <c r="C42" s="45" t="s">
        <v>381</v>
      </c>
      <c r="D42" s="1" t="s">
        <v>384</v>
      </c>
      <c r="E42" s="1" t="s">
        <v>370</v>
      </c>
      <c r="K42" s="2"/>
    </row>
    <row r="43" spans="2:11" x14ac:dyDescent="0.4">
      <c r="B43" s="1">
        <f t="shared" si="0"/>
        <v>25</v>
      </c>
      <c r="C43" s="45" t="s">
        <v>381</v>
      </c>
      <c r="D43" s="1" t="s">
        <v>385</v>
      </c>
      <c r="E43" s="1" t="s">
        <v>373</v>
      </c>
      <c r="K43" s="2"/>
    </row>
    <row r="44" spans="2:11" x14ac:dyDescent="0.4">
      <c r="B44" s="1">
        <f t="shared" si="0"/>
        <v>26</v>
      </c>
      <c r="C44" s="45" t="s">
        <v>381</v>
      </c>
      <c r="D44" s="1" t="s">
        <v>386</v>
      </c>
      <c r="E44" s="1" t="s">
        <v>376</v>
      </c>
      <c r="K44" s="2"/>
    </row>
    <row r="45" spans="2:11" x14ac:dyDescent="0.4">
      <c r="B45" s="1">
        <f t="shared" si="0"/>
        <v>27</v>
      </c>
      <c r="C45" s="45" t="s">
        <v>381</v>
      </c>
      <c r="D45" s="1" t="s">
        <v>388</v>
      </c>
      <c r="E45" s="1" t="s">
        <v>377</v>
      </c>
      <c r="K45" s="2"/>
    </row>
    <row r="46" spans="2:11" x14ac:dyDescent="0.4">
      <c r="B46" s="1">
        <f t="shared" si="0"/>
        <v>28</v>
      </c>
      <c r="C46" s="45" t="s">
        <v>381</v>
      </c>
      <c r="D46" s="1" t="s">
        <v>387</v>
      </c>
      <c r="E46" s="1" t="s">
        <v>379</v>
      </c>
      <c r="K46" s="2"/>
    </row>
    <row r="47" spans="2:11" x14ac:dyDescent="0.4">
      <c r="K47" s="2"/>
    </row>
    <row r="48" spans="2:11" x14ac:dyDescent="0.4">
      <c r="K48" s="2"/>
    </row>
    <row r="49" spans="1:11" x14ac:dyDescent="0.4">
      <c r="K49" s="2"/>
    </row>
    <row r="50" spans="1:11" x14ac:dyDescent="0.4">
      <c r="A50" s="1" t="s">
        <v>14</v>
      </c>
      <c r="K50" s="2"/>
    </row>
    <row r="51" spans="1:11" x14ac:dyDescent="0.4">
      <c r="B51" s="1" t="s">
        <v>15</v>
      </c>
      <c r="K51" s="2"/>
    </row>
    <row r="52" spans="1:11" x14ac:dyDescent="0.4">
      <c r="B52" s="1" t="s">
        <v>550</v>
      </c>
      <c r="K52" s="2"/>
    </row>
    <row r="53" spans="1:11" x14ac:dyDescent="0.4">
      <c r="B53" s="20" t="s">
        <v>553</v>
      </c>
      <c r="K53" s="2"/>
    </row>
    <row r="54" spans="1:11" ht="18.75" x14ac:dyDescent="0.4">
      <c r="B54" s="57" t="s">
        <v>554</v>
      </c>
      <c r="C54" s="57"/>
      <c r="K54" s="2"/>
    </row>
    <row r="55" spans="1:11" ht="18.75" x14ac:dyDescent="0.4">
      <c r="B55" s="57" t="s">
        <v>555</v>
      </c>
      <c r="C55" s="57"/>
      <c r="K55" s="2"/>
    </row>
    <row r="56" spans="1:11" x14ac:dyDescent="0.4">
      <c r="K56" s="2"/>
    </row>
    <row r="57" spans="1:11" x14ac:dyDescent="0.4">
      <c r="A57" s="1" t="s">
        <v>16</v>
      </c>
      <c r="K57" s="2"/>
    </row>
    <row r="58" spans="1:11" x14ac:dyDescent="0.4">
      <c r="A58" s="1">
        <v>1</v>
      </c>
      <c r="B58" s="1" t="s">
        <v>17</v>
      </c>
      <c r="K58" s="2"/>
    </row>
    <row r="59" spans="1:11" x14ac:dyDescent="0.4">
      <c r="A59" s="1">
        <v>2</v>
      </c>
      <c r="B59" s="1" t="s">
        <v>181</v>
      </c>
      <c r="K59" s="2"/>
    </row>
    <row r="60" spans="1:11" x14ac:dyDescent="0.4">
      <c r="A60" s="1">
        <v>3</v>
      </c>
      <c r="B60" s="1" t="s">
        <v>18</v>
      </c>
      <c r="K60" s="2"/>
    </row>
    <row r="61" spans="1:11" x14ac:dyDescent="0.4">
      <c r="A61" s="1">
        <v>4</v>
      </c>
      <c r="B61" s="1" t="s">
        <v>395</v>
      </c>
      <c r="K61" s="2"/>
    </row>
    <row r="62" spans="1:11" x14ac:dyDescent="0.4">
      <c r="B62" s="1" t="s">
        <v>393</v>
      </c>
      <c r="K62" s="2"/>
    </row>
    <row r="63" spans="1:11" x14ac:dyDescent="0.4">
      <c r="B63" s="1" t="s">
        <v>394</v>
      </c>
      <c r="K63" s="2"/>
    </row>
    <row r="64" spans="1:11" x14ac:dyDescent="0.4">
      <c r="A64" s="1">
        <v>5</v>
      </c>
      <c r="B64" s="1" t="s">
        <v>19</v>
      </c>
      <c r="K64" s="2"/>
    </row>
    <row r="65" spans="1:11" x14ac:dyDescent="0.4">
      <c r="B65" s="1" t="s">
        <v>20</v>
      </c>
      <c r="K65" s="2"/>
    </row>
    <row r="66" spans="1:11" x14ac:dyDescent="0.4">
      <c r="A66" s="1">
        <v>6</v>
      </c>
      <c r="B66" s="1" t="s">
        <v>21</v>
      </c>
      <c r="K66" s="2"/>
    </row>
    <row r="67" spans="1:11" x14ac:dyDescent="0.4">
      <c r="B67" s="1" t="s">
        <v>182</v>
      </c>
      <c r="K67" s="2"/>
    </row>
    <row r="68" spans="1:11" x14ac:dyDescent="0.4">
      <c r="B68" s="1" t="s">
        <v>22</v>
      </c>
      <c r="K68" s="2"/>
    </row>
    <row r="69" spans="1:11" x14ac:dyDescent="0.4">
      <c r="A69" s="1">
        <v>7</v>
      </c>
      <c r="B69" s="1" t="s">
        <v>23</v>
      </c>
      <c r="K69" s="2"/>
    </row>
    <row r="70" spans="1:11" x14ac:dyDescent="0.4">
      <c r="A70" s="1">
        <v>8</v>
      </c>
      <c r="B70" s="1" t="s">
        <v>47</v>
      </c>
      <c r="K70" s="2"/>
    </row>
    <row r="71" spans="1:11" x14ac:dyDescent="0.4">
      <c r="A71" s="1">
        <v>9</v>
      </c>
      <c r="B71" s="1" t="s">
        <v>363</v>
      </c>
      <c r="K71" s="2"/>
    </row>
    <row r="72" spans="1:11" x14ac:dyDescent="0.4">
      <c r="B72" s="1" t="s">
        <v>24</v>
      </c>
      <c r="K72" s="2"/>
    </row>
    <row r="73" spans="1:11" x14ac:dyDescent="0.4">
      <c r="B73" s="1" t="s">
        <v>25</v>
      </c>
      <c r="K73" s="2"/>
    </row>
    <row r="74" spans="1:11" x14ac:dyDescent="0.4">
      <c r="K74" s="2"/>
    </row>
    <row r="75" spans="1:11" x14ac:dyDescent="0.4">
      <c r="K75" s="2"/>
    </row>
    <row r="76" spans="1:11" x14ac:dyDescent="0.4">
      <c r="A76" s="2" t="s">
        <v>26</v>
      </c>
      <c r="K76" s="2"/>
    </row>
    <row r="77" spans="1:11" x14ac:dyDescent="0.4">
      <c r="A77" s="1">
        <v>1</v>
      </c>
      <c r="B77" s="1" t="s">
        <v>27</v>
      </c>
      <c r="K77" s="2"/>
    </row>
    <row r="78" spans="1:11" x14ac:dyDescent="0.4">
      <c r="A78" s="1">
        <v>2</v>
      </c>
      <c r="B78" s="43" t="s">
        <v>28</v>
      </c>
      <c r="K78" s="2"/>
    </row>
    <row r="79" spans="1:11" x14ac:dyDescent="0.4">
      <c r="A79" s="1">
        <v>3</v>
      </c>
      <c r="B79" s="1" t="s">
        <v>29</v>
      </c>
      <c r="K79" s="2"/>
    </row>
    <row r="80" spans="1:11" x14ac:dyDescent="0.4">
      <c r="B80" s="1" t="s">
        <v>30</v>
      </c>
      <c r="K80" s="2"/>
    </row>
    <row r="81" spans="1:11" x14ac:dyDescent="0.4">
      <c r="B81" s="1" t="s">
        <v>31</v>
      </c>
      <c r="K81" s="2"/>
    </row>
    <row r="82" spans="1:11" x14ac:dyDescent="0.4">
      <c r="B82" s="1" t="s">
        <v>32</v>
      </c>
      <c r="K82" s="2"/>
    </row>
    <row r="83" spans="1:11" x14ac:dyDescent="0.4">
      <c r="K83" s="2"/>
    </row>
    <row r="84" spans="1:11" x14ac:dyDescent="0.4">
      <c r="A84" s="1">
        <v>4</v>
      </c>
      <c r="B84" s="1" t="s">
        <v>183</v>
      </c>
      <c r="K84" s="2"/>
    </row>
    <row r="85" spans="1:11" x14ac:dyDescent="0.4">
      <c r="B85" s="1" t="s">
        <v>136</v>
      </c>
      <c r="C85" s="17"/>
      <c r="K85" s="2"/>
    </row>
    <row r="86" spans="1:11" ht="18.75" x14ac:dyDescent="0.4">
      <c r="B86" s="1" t="s">
        <v>184</v>
      </c>
      <c r="C86" s="8"/>
      <c r="K86" s="2"/>
    </row>
    <row r="87" spans="1:11" ht="18.75" x14ac:dyDescent="0.4">
      <c r="C87" s="23"/>
      <c r="K87" s="2"/>
    </row>
    <row r="88" spans="1:11" x14ac:dyDescent="0.4">
      <c r="A88" s="1">
        <v>5</v>
      </c>
      <c r="B88" s="1" t="s">
        <v>137</v>
      </c>
      <c r="K88" s="2"/>
    </row>
    <row r="89" spans="1:11" x14ac:dyDescent="0.4">
      <c r="K89" s="2"/>
    </row>
    <row r="90" spans="1:11" x14ac:dyDescent="0.4">
      <c r="A90" s="1">
        <f>A88+1</f>
        <v>6</v>
      </c>
      <c r="B90" s="1" t="s">
        <v>551</v>
      </c>
      <c r="K90" s="2"/>
    </row>
    <row r="91" spans="1:11" x14ac:dyDescent="0.4">
      <c r="B91" s="1" t="s">
        <v>556</v>
      </c>
      <c r="K91" s="2"/>
    </row>
    <row r="92" spans="1:11" x14ac:dyDescent="0.4">
      <c r="A92" s="1">
        <f>A90+1</f>
        <v>7</v>
      </c>
      <c r="B92" s="1" t="s">
        <v>552</v>
      </c>
      <c r="K92" s="2"/>
    </row>
    <row r="93" spans="1:11" x14ac:dyDescent="0.4">
      <c r="B93" s="6" t="s">
        <v>138</v>
      </c>
      <c r="K93" s="2"/>
    </row>
    <row r="94" spans="1:11" x14ac:dyDescent="0.4">
      <c r="B94" s="6"/>
      <c r="K94" s="2"/>
    </row>
    <row r="95" spans="1:11" x14ac:dyDescent="0.4">
      <c r="A95" s="1">
        <f>A92+1</f>
        <v>8</v>
      </c>
      <c r="B95" s="22" t="s">
        <v>188</v>
      </c>
      <c r="K95" s="2"/>
    </row>
    <row r="96" spans="1:11" x14ac:dyDescent="0.4">
      <c r="K96" s="2"/>
    </row>
    <row r="97" spans="1:11" x14ac:dyDescent="0.4">
      <c r="A97" s="1">
        <f>A95+1</f>
        <v>9</v>
      </c>
      <c r="B97" s="1" t="s">
        <v>364</v>
      </c>
      <c r="K97" s="2"/>
    </row>
    <row r="98" spans="1:11" x14ac:dyDescent="0.4">
      <c r="K98" s="2"/>
    </row>
    <row r="99" spans="1:11" x14ac:dyDescent="0.4">
      <c r="B99" s="1" t="s">
        <v>33</v>
      </c>
      <c r="I99" s="2"/>
      <c r="K99" s="2"/>
    </row>
    <row r="100" spans="1:11" x14ac:dyDescent="0.4">
      <c r="K100" s="2"/>
    </row>
    <row r="101" spans="1:11" x14ac:dyDescent="0.4">
      <c r="I101" s="2"/>
      <c r="K101" s="2"/>
    </row>
    <row r="102" spans="1:11" x14ac:dyDescent="0.4">
      <c r="A102" s="1" t="s">
        <v>187</v>
      </c>
      <c r="K102" s="2"/>
    </row>
    <row r="103" spans="1:11" x14ac:dyDescent="0.4">
      <c r="B103" s="1" t="s">
        <v>186</v>
      </c>
      <c r="K103" s="2"/>
    </row>
    <row r="104" spans="1:11" x14ac:dyDescent="0.4">
      <c r="K104" s="2"/>
    </row>
    <row r="105" spans="1:11" x14ac:dyDescent="0.4">
      <c r="K105" s="2"/>
    </row>
    <row r="106" spans="1:11" x14ac:dyDescent="0.4">
      <c r="A106" s="1" t="s">
        <v>189</v>
      </c>
      <c r="K106" s="2"/>
    </row>
    <row r="107" spans="1:11" x14ac:dyDescent="0.4">
      <c r="A107" s="1" t="s">
        <v>185</v>
      </c>
      <c r="B107" s="6" t="s">
        <v>390</v>
      </c>
      <c r="K107" s="2"/>
    </row>
    <row r="108" spans="1:11" x14ac:dyDescent="0.4">
      <c r="B108" s="6" t="s">
        <v>391</v>
      </c>
      <c r="K108" s="2"/>
    </row>
    <row r="109" spans="1:11" x14ac:dyDescent="0.4">
      <c r="B109" s="6" t="s">
        <v>392</v>
      </c>
      <c r="K109" s="2"/>
    </row>
    <row r="110" spans="1:11" x14ac:dyDescent="0.4">
      <c r="A110" s="2"/>
      <c r="K110" s="2"/>
    </row>
    <row r="116" spans="2:2" x14ac:dyDescent="0.4">
      <c r="B116"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56"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77</v>
      </c>
      <c r="B1" s="11" t="s">
        <v>401</v>
      </c>
    </row>
    <row r="2" spans="1:9" ht="18" customHeight="1" x14ac:dyDescent="0.4">
      <c r="A2" s="11" t="s">
        <v>78</v>
      </c>
      <c r="B2" s="15" t="s">
        <v>402</v>
      </c>
      <c r="F2" s="15" t="s">
        <v>406</v>
      </c>
    </row>
    <row r="3" spans="1:9" ht="46.5" customHeight="1" x14ac:dyDescent="0.4"/>
    <row r="4" spans="1:9" ht="18" customHeight="1" x14ac:dyDescent="0.4"/>
    <row r="5" spans="1:9" ht="18" customHeight="1" x14ac:dyDescent="0.4">
      <c r="A5" t="s">
        <v>403</v>
      </c>
      <c r="B5" t="s">
        <v>40</v>
      </c>
      <c r="C5" t="s">
        <v>42</v>
      </c>
    </row>
    <row r="6" spans="1:9" x14ac:dyDescent="0.4">
      <c r="A6" t="s">
        <v>37</v>
      </c>
      <c r="B6" s="3" t="s">
        <v>555</v>
      </c>
      <c r="C6" t="s">
        <v>39</v>
      </c>
      <c r="G6" s="7"/>
      <c r="H6" s="7" t="s">
        <v>555</v>
      </c>
      <c r="I6" s="7"/>
    </row>
    <row r="7" spans="1:9" x14ac:dyDescent="0.4">
      <c r="A7" s="1" t="s">
        <v>34</v>
      </c>
      <c r="B7" s="3" t="s">
        <v>396</v>
      </c>
      <c r="C7" t="s">
        <v>39</v>
      </c>
      <c r="D7" s="7"/>
      <c r="G7" s="7"/>
      <c r="H7" s="7" t="s">
        <v>396</v>
      </c>
      <c r="I7" s="7"/>
    </row>
    <row r="8" spans="1:9" x14ac:dyDescent="0.4">
      <c r="A8" s="1" t="s">
        <v>35</v>
      </c>
      <c r="B8" s="3" t="s">
        <v>397</v>
      </c>
      <c r="C8" t="s">
        <v>39</v>
      </c>
      <c r="H8" t="s">
        <v>397</v>
      </c>
      <c r="I8" s="7"/>
    </row>
    <row r="9" spans="1:9" x14ac:dyDescent="0.4">
      <c r="A9" s="1" t="s">
        <v>36</v>
      </c>
      <c r="B9" s="3" t="s">
        <v>398</v>
      </c>
      <c r="C9" t="s">
        <v>39</v>
      </c>
      <c r="H9" s="7" t="s">
        <v>398</v>
      </c>
      <c r="I9" s="7"/>
    </row>
    <row r="10" spans="1:9" x14ac:dyDescent="0.4">
      <c r="A10" s="1" t="s">
        <v>38</v>
      </c>
      <c r="B10" s="46">
        <v>5</v>
      </c>
      <c r="C10" t="s">
        <v>190</v>
      </c>
      <c r="H10">
        <v>5</v>
      </c>
    </row>
    <row r="11" spans="1:9" x14ac:dyDescent="0.4">
      <c r="A11" s="1"/>
      <c r="B11" s="5"/>
      <c r="C11" t="s">
        <v>365</v>
      </c>
    </row>
    <row r="12" spans="1:9" x14ac:dyDescent="0.4">
      <c r="A12" s="1"/>
      <c r="B12" s="5"/>
    </row>
    <row r="13" spans="1:9" x14ac:dyDescent="0.4">
      <c r="A13" s="1"/>
      <c r="B13" s="5"/>
    </row>
    <row r="14" spans="1:9" x14ac:dyDescent="0.4">
      <c r="A14" s="1"/>
    </row>
    <row r="16" spans="1:9" x14ac:dyDescent="0.4">
      <c r="A16" s="51" t="s">
        <v>415</v>
      </c>
      <c r="B16" s="47">
        <v>1</v>
      </c>
      <c r="E16" s="51"/>
      <c r="F16" t="s">
        <v>405</v>
      </c>
    </row>
    <row r="17" spans="1:5" x14ac:dyDescent="0.4">
      <c r="A17" s="51" t="s">
        <v>408</v>
      </c>
      <c r="B17" s="48" t="b">
        <v>1</v>
      </c>
      <c r="E17" s="51" t="s">
        <v>416</v>
      </c>
    </row>
    <row r="18" spans="1:5" ht="409.5" x14ac:dyDescent="0.4">
      <c r="A18" t="s">
        <v>407</v>
      </c>
      <c r="B18" s="47" t="s">
        <v>559</v>
      </c>
      <c r="E18" s="51" t="s">
        <v>417</v>
      </c>
    </row>
    <row r="19" spans="1:5" ht="56.25" x14ac:dyDescent="0.4">
      <c r="A19" s="10" t="s">
        <v>413</v>
      </c>
      <c r="B19" s="8">
        <v>20241103</v>
      </c>
      <c r="E19" s="51" t="s">
        <v>410</v>
      </c>
    </row>
    <row r="20" spans="1:5" ht="56.25" x14ac:dyDescent="0.4">
      <c r="A20" s="53" t="s">
        <v>414</v>
      </c>
      <c r="B20" s="54">
        <v>20241103</v>
      </c>
      <c r="E20" s="51" t="s">
        <v>418</v>
      </c>
    </row>
    <row r="21" spans="1:5" x14ac:dyDescent="0.4">
      <c r="A21" s="51"/>
      <c r="B21" s="49" t="s">
        <v>405</v>
      </c>
      <c r="E21" s="51" t="s">
        <v>419</v>
      </c>
    </row>
    <row r="22" spans="1:5" x14ac:dyDescent="0.4">
      <c r="A22" s="51" t="s">
        <v>399</v>
      </c>
      <c r="B22" s="49">
        <v>1</v>
      </c>
      <c r="E22" s="51" t="s">
        <v>420</v>
      </c>
    </row>
    <row r="23" spans="1:5" x14ac:dyDescent="0.4">
      <c r="A23" s="51" t="s">
        <v>424</v>
      </c>
      <c r="B23" s="49" t="s">
        <v>557</v>
      </c>
    </row>
    <row r="24" spans="1:5" x14ac:dyDescent="0.4">
      <c r="A24" s="51" t="s">
        <v>560</v>
      </c>
      <c r="B24" s="49" t="s">
        <v>558</v>
      </c>
    </row>
    <row r="25" spans="1:5" x14ac:dyDescent="0.4">
      <c r="A25" s="51" t="s">
        <v>410</v>
      </c>
      <c r="B25" s="49">
        <v>0</v>
      </c>
    </row>
    <row r="26" spans="1:5" x14ac:dyDescent="0.4">
      <c r="A26" s="51" t="s">
        <v>404</v>
      </c>
      <c r="B26" s="49"/>
    </row>
    <row r="27" spans="1:5" x14ac:dyDescent="0.4">
      <c r="A27" s="51" t="s">
        <v>411</v>
      </c>
      <c r="B27" s="49">
        <v>0</v>
      </c>
    </row>
    <row r="28" spans="1:5" x14ac:dyDescent="0.4">
      <c r="A28" s="51" t="s">
        <v>561</v>
      </c>
      <c r="B28" s="49"/>
    </row>
    <row r="29" spans="1:5" x14ac:dyDescent="0.4">
      <c r="A29" s="51"/>
      <c r="B29" s="49"/>
    </row>
    <row r="30" spans="1:5" x14ac:dyDescent="0.4">
      <c r="A30" s="51"/>
      <c r="B30" s="49"/>
    </row>
    <row r="31" spans="1:5" x14ac:dyDescent="0.4">
      <c r="A31" s="51"/>
      <c r="B31" s="49"/>
    </row>
    <row r="32" spans="1:5" x14ac:dyDescent="0.4">
      <c r="A32" s="51"/>
      <c r="B32" s="49"/>
    </row>
    <row r="33" spans="1:2" x14ac:dyDescent="0.4">
      <c r="A33" s="51"/>
      <c r="B33" s="49"/>
    </row>
    <row r="34" spans="1:2" x14ac:dyDescent="0.4">
      <c r="A34" s="51"/>
      <c r="B34" s="49"/>
    </row>
    <row r="35" spans="1:2" x14ac:dyDescent="0.4">
      <c r="A35" s="51"/>
      <c r="B35" s="49"/>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exec_CLMAuthLoginRequest">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16386" r:id="rId5" name="Button 2">
              <controlPr defaultSize="0" print="0" autoFill="0" autoPict="0" macro="[0]!exec_CLMAuthLogoutRequest">
                <anchor moveWithCells="1" sizeWithCells="1">
                  <from>
                    <xdr:col>5</xdr:col>
                    <xdr:colOff>142875</xdr:colOff>
                    <xdr:row>2</xdr:row>
                    <xdr:rowOff>123825</xdr:rowOff>
                  </from>
                  <to>
                    <xdr:col>5</xdr:col>
                    <xdr:colOff>1724025</xdr:colOff>
                    <xdr:row>2</xdr:row>
                    <xdr:rowOff>457200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23"/>
  <sheetViews>
    <sheetView workbookViewId="0"/>
  </sheetViews>
  <sheetFormatPr defaultRowHeight="18.75" x14ac:dyDescent="0.4"/>
  <cols>
    <col min="1" max="1" width="19.875" style="51" bestFit="1" customWidth="1"/>
    <col min="2" max="2" width="27.25" style="51" customWidth="1"/>
    <col min="3" max="3" width="13.875" style="51" customWidth="1"/>
    <col min="4" max="5" width="9" style="51"/>
    <col min="6" max="6" width="23.5" style="51" customWidth="1"/>
    <col min="7" max="7" width="16.875" style="51" customWidth="1"/>
    <col min="8" max="9" width="9" style="51"/>
    <col min="10" max="10" width="23.5" style="51" customWidth="1"/>
    <col min="11" max="12" width="9" style="51"/>
    <col min="13" max="13" width="11.875" style="51" customWidth="1"/>
    <col min="14" max="14" width="24.125" style="51" customWidth="1"/>
    <col min="15" max="15" width="22.875" style="51" customWidth="1"/>
    <col min="16" max="16384" width="9" style="51"/>
  </cols>
  <sheetData>
    <row r="1" spans="1:14" s="11" customFormat="1" ht="21" customHeight="1" x14ac:dyDescent="0.4">
      <c r="A1" s="11" t="s">
        <v>77</v>
      </c>
      <c r="B1" s="11" t="s">
        <v>450</v>
      </c>
      <c r="F1" s="11" t="s">
        <v>79</v>
      </c>
      <c r="J1" s="11" t="s">
        <v>451</v>
      </c>
      <c r="N1" s="11" t="s">
        <v>452</v>
      </c>
    </row>
    <row r="2" spans="1:14" s="11" customFormat="1" ht="21" customHeight="1" x14ac:dyDescent="0.4">
      <c r="A2" s="11" t="s">
        <v>78</v>
      </c>
      <c r="B2" s="15" t="s">
        <v>171</v>
      </c>
      <c r="F2" s="15" t="s">
        <v>172</v>
      </c>
      <c r="J2" s="15" t="s">
        <v>453</v>
      </c>
      <c r="N2" s="15" t="s">
        <v>454</v>
      </c>
    </row>
    <row r="3" spans="1:14" ht="48" customHeight="1" x14ac:dyDescent="0.4"/>
    <row r="6" spans="1:14" x14ac:dyDescent="0.4">
      <c r="N6" s="52">
        <v>13000011</v>
      </c>
    </row>
    <row r="7" spans="1:14" x14ac:dyDescent="0.4">
      <c r="N7" s="52">
        <v>20251213</v>
      </c>
    </row>
    <row r="16" spans="1:14" x14ac:dyDescent="0.4">
      <c r="A16"/>
      <c r="B16" t="s">
        <v>405</v>
      </c>
      <c r="F16" t="s">
        <v>405</v>
      </c>
      <c r="J16" t="s">
        <v>405</v>
      </c>
      <c r="N16" t="s">
        <v>405</v>
      </c>
    </row>
    <row r="17" spans="1:14" s="55" customFormat="1" x14ac:dyDescent="0.4">
      <c r="A17" t="s">
        <v>505</v>
      </c>
      <c r="B17" s="8">
        <v>2</v>
      </c>
      <c r="E17" s="55" t="s">
        <v>512</v>
      </c>
      <c r="F17" s="8">
        <v>3</v>
      </c>
      <c r="I17" s="55" t="s">
        <v>493</v>
      </c>
      <c r="J17" s="8">
        <v>44</v>
      </c>
      <c r="M17" s="55" t="s">
        <v>399</v>
      </c>
      <c r="N17" s="8">
        <v>28</v>
      </c>
    </row>
    <row r="18" spans="1:14" s="55" customFormat="1" x14ac:dyDescent="0.4">
      <c r="A18" t="s">
        <v>506</v>
      </c>
      <c r="B18" s="8" t="s">
        <v>504</v>
      </c>
      <c r="E18" s="55" t="s">
        <v>501</v>
      </c>
      <c r="F18" s="8" t="s">
        <v>511</v>
      </c>
      <c r="I18" s="55" t="s">
        <v>424</v>
      </c>
      <c r="J18" s="8" t="s">
        <v>499</v>
      </c>
      <c r="M18" s="55" t="s">
        <v>424</v>
      </c>
      <c r="N18" s="8" t="s">
        <v>477</v>
      </c>
    </row>
    <row r="19" spans="1:14" s="55" customFormat="1" x14ac:dyDescent="0.4">
      <c r="A19" t="s">
        <v>507</v>
      </c>
      <c r="B19" s="8" t="s">
        <v>455</v>
      </c>
      <c r="E19" s="55" t="s">
        <v>409</v>
      </c>
      <c r="F19" s="8" t="s">
        <v>456</v>
      </c>
      <c r="I19" s="55" t="s">
        <v>409</v>
      </c>
      <c r="J19" s="8" t="s">
        <v>449</v>
      </c>
      <c r="M19" s="55" t="s">
        <v>409</v>
      </c>
      <c r="N19" s="8" t="s">
        <v>80</v>
      </c>
    </row>
    <row r="20" spans="1:14" s="55" customFormat="1" x14ac:dyDescent="0.4">
      <c r="A20" t="s">
        <v>508</v>
      </c>
      <c r="B20" s="8">
        <v>0</v>
      </c>
      <c r="E20" s="55" t="s">
        <v>502</v>
      </c>
      <c r="F20" s="8">
        <v>0</v>
      </c>
      <c r="I20" s="55" t="s">
        <v>496</v>
      </c>
      <c r="J20" s="8">
        <v>0</v>
      </c>
      <c r="M20" s="55" t="s">
        <v>410</v>
      </c>
      <c r="N20" s="8">
        <v>0</v>
      </c>
    </row>
    <row r="21" spans="1:14" s="55" customFormat="1" x14ac:dyDescent="0.4">
      <c r="A21" t="s">
        <v>404</v>
      </c>
      <c r="B21" s="8"/>
      <c r="E21" s="55" t="s">
        <v>503</v>
      </c>
      <c r="F21" s="8"/>
      <c r="I21" s="55" t="s">
        <v>490</v>
      </c>
      <c r="J21" s="8"/>
      <c r="M21" s="55" t="s">
        <v>404</v>
      </c>
      <c r="N21" s="8"/>
    </row>
    <row r="22" spans="1:14" s="55" customFormat="1" x14ac:dyDescent="0.4">
      <c r="A22" t="s">
        <v>509</v>
      </c>
      <c r="B22" s="8">
        <v>0</v>
      </c>
      <c r="E22" s="55" t="s">
        <v>411</v>
      </c>
      <c r="F22" s="8">
        <v>0</v>
      </c>
      <c r="I22" s="55" t="s">
        <v>411</v>
      </c>
      <c r="J22" s="8">
        <v>0</v>
      </c>
      <c r="M22" s="55" t="s">
        <v>411</v>
      </c>
      <c r="N22" s="8">
        <v>0</v>
      </c>
    </row>
    <row r="23" spans="1:14" x14ac:dyDescent="0.4">
      <c r="A23" t="s">
        <v>510</v>
      </c>
      <c r="B23" s="8"/>
      <c r="E23" s="51" t="s">
        <v>412</v>
      </c>
      <c r="F23" s="8"/>
      <c r="I23" s="51" t="s">
        <v>491</v>
      </c>
      <c r="J23" s="8"/>
      <c r="M23" s="51" t="s">
        <v>478</v>
      </c>
      <c r="N23" s="8"/>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23"/>
  <sheetViews>
    <sheetView workbookViewId="0">
      <selection activeCell="J9" sqref="J9:J10"/>
    </sheetView>
  </sheetViews>
  <sheetFormatPr defaultRowHeight="18.75" x14ac:dyDescent="0.4"/>
  <cols>
    <col min="1" max="1" width="14.875" customWidth="1"/>
    <col min="2" max="2" width="24.5" customWidth="1"/>
    <col min="3" max="3" width="51.875" customWidth="1"/>
    <col min="4" max="4" width="5.25" customWidth="1"/>
    <col min="5" max="5" width="15.625" customWidth="1"/>
    <col min="6" max="6" width="26.625" customWidth="1"/>
    <col min="7" max="7" width="26.25" customWidth="1"/>
    <col min="9" max="9" width="16.375" customWidth="1"/>
    <col min="10" max="10" width="25.75" customWidth="1"/>
    <col min="11" max="11" width="37.625" customWidth="1"/>
  </cols>
  <sheetData>
    <row r="1" spans="1:11" s="16" customFormat="1" ht="17.25" x14ac:dyDescent="0.4">
      <c r="A1" s="16" t="s">
        <v>77</v>
      </c>
      <c r="B1" s="12" t="s">
        <v>97</v>
      </c>
      <c r="F1" s="16" t="s">
        <v>95</v>
      </c>
      <c r="J1" s="16" t="s">
        <v>103</v>
      </c>
    </row>
    <row r="2" spans="1:11" x14ac:dyDescent="0.4">
      <c r="A2" s="11" t="s">
        <v>78</v>
      </c>
      <c r="B2" s="12" t="s">
        <v>98</v>
      </c>
      <c r="C2" s="12"/>
      <c r="D2" s="12"/>
      <c r="E2" s="12"/>
      <c r="F2" s="15" t="s">
        <v>170</v>
      </c>
      <c r="G2" s="11"/>
      <c r="I2" s="12"/>
      <c r="J2" s="12" t="s">
        <v>104</v>
      </c>
    </row>
    <row r="3" spans="1:11" ht="40.5" customHeight="1" x14ac:dyDescent="0.4"/>
    <row r="4" spans="1:11" x14ac:dyDescent="0.4">
      <c r="A4" s="9" t="s">
        <v>60</v>
      </c>
      <c r="I4" s="9" t="s">
        <v>60</v>
      </c>
    </row>
    <row r="5" spans="1:11" x14ac:dyDescent="0.4">
      <c r="A5" t="s">
        <v>41</v>
      </c>
      <c r="B5" t="s">
        <v>73</v>
      </c>
      <c r="C5" t="s">
        <v>42</v>
      </c>
      <c r="I5" t="s">
        <v>41</v>
      </c>
      <c r="J5" t="s">
        <v>73</v>
      </c>
    </row>
    <row r="6" spans="1:11" x14ac:dyDescent="0.4">
      <c r="A6" s="7" t="s">
        <v>53</v>
      </c>
      <c r="B6" s="3"/>
      <c r="C6" s="7" t="s">
        <v>49</v>
      </c>
      <c r="D6" s="7"/>
      <c r="I6" s="7" t="s">
        <v>53</v>
      </c>
      <c r="J6" s="3"/>
      <c r="K6" s="7" t="s">
        <v>49</v>
      </c>
    </row>
    <row r="7" spans="1:11" x14ac:dyDescent="0.4">
      <c r="A7" s="7" t="s">
        <v>54</v>
      </c>
      <c r="B7" s="3" t="s">
        <v>57</v>
      </c>
      <c r="C7" s="7" t="s">
        <v>50</v>
      </c>
      <c r="D7" s="7"/>
      <c r="I7" s="7" t="s">
        <v>54</v>
      </c>
      <c r="J7" s="3" t="s">
        <v>57</v>
      </c>
      <c r="K7" s="7" t="s">
        <v>50</v>
      </c>
    </row>
    <row r="8" spans="1:11" x14ac:dyDescent="0.4">
      <c r="A8" t="s">
        <v>55</v>
      </c>
      <c r="B8" s="4">
        <v>0</v>
      </c>
      <c r="C8" t="s">
        <v>51</v>
      </c>
      <c r="I8" t="s">
        <v>55</v>
      </c>
      <c r="J8" s="4">
        <v>0</v>
      </c>
      <c r="K8" t="s">
        <v>51</v>
      </c>
    </row>
    <row r="9" spans="1:11" x14ac:dyDescent="0.4">
      <c r="A9" t="s">
        <v>56</v>
      </c>
      <c r="B9" s="4"/>
      <c r="C9" t="s">
        <v>52</v>
      </c>
      <c r="I9" t="s">
        <v>56</v>
      </c>
      <c r="J9" s="4"/>
      <c r="K9" t="s">
        <v>52</v>
      </c>
    </row>
    <row r="10" spans="1:11" x14ac:dyDescent="0.4">
      <c r="A10" t="s">
        <v>74</v>
      </c>
      <c r="B10" s="4"/>
      <c r="I10" t="s">
        <v>74</v>
      </c>
      <c r="J10" s="4"/>
    </row>
    <row r="16" spans="1:11" x14ac:dyDescent="0.4">
      <c r="B16" t="s">
        <v>405</v>
      </c>
      <c r="F16" t="s">
        <v>405</v>
      </c>
      <c r="J16" t="s">
        <v>405</v>
      </c>
    </row>
    <row r="17" spans="1:10" x14ac:dyDescent="0.4">
      <c r="A17" t="s">
        <v>444</v>
      </c>
      <c r="B17" s="8">
        <v>2</v>
      </c>
      <c r="E17" t="s">
        <v>399</v>
      </c>
      <c r="F17" s="8">
        <v>25</v>
      </c>
      <c r="I17" t="s">
        <v>421</v>
      </c>
      <c r="J17" s="8">
        <v>9</v>
      </c>
    </row>
    <row r="18" spans="1:10" x14ac:dyDescent="0.4">
      <c r="A18" t="s">
        <v>445</v>
      </c>
      <c r="B18" s="8" t="s">
        <v>447</v>
      </c>
      <c r="C18" t="s">
        <v>59</v>
      </c>
      <c r="E18" t="s">
        <v>474</v>
      </c>
      <c r="F18" s="13" t="s">
        <v>473</v>
      </c>
      <c r="I18" t="s">
        <v>409</v>
      </c>
      <c r="J18" s="8" t="s">
        <v>76</v>
      </c>
    </row>
    <row r="19" spans="1:10" x14ac:dyDescent="0.4">
      <c r="A19" t="s">
        <v>409</v>
      </c>
      <c r="B19" s="8" t="s">
        <v>76</v>
      </c>
      <c r="E19" t="s">
        <v>409</v>
      </c>
      <c r="F19" s="14" t="s">
        <v>96</v>
      </c>
      <c r="I19" t="s">
        <v>423</v>
      </c>
      <c r="J19" s="8">
        <v>0</v>
      </c>
    </row>
    <row r="20" spans="1:10" x14ac:dyDescent="0.4">
      <c r="A20" t="s">
        <v>410</v>
      </c>
      <c r="B20" s="8">
        <v>0</v>
      </c>
      <c r="E20" t="s">
        <v>410</v>
      </c>
      <c r="F20" s="14">
        <v>0</v>
      </c>
      <c r="I20" t="s">
        <v>404</v>
      </c>
      <c r="J20" s="8"/>
    </row>
    <row r="21" spans="1:10" x14ac:dyDescent="0.4">
      <c r="A21" t="s">
        <v>404</v>
      </c>
      <c r="B21" s="8"/>
      <c r="E21" t="s">
        <v>404</v>
      </c>
      <c r="F21" s="8"/>
      <c r="I21" t="s">
        <v>411</v>
      </c>
      <c r="J21" s="8">
        <v>0</v>
      </c>
    </row>
    <row r="22" spans="1:10" x14ac:dyDescent="0.4">
      <c r="A22" t="s">
        <v>446</v>
      </c>
      <c r="B22" s="8">
        <v>0</v>
      </c>
      <c r="E22" t="s">
        <v>475</v>
      </c>
      <c r="F22" s="8">
        <v>0</v>
      </c>
      <c r="I22" t="s">
        <v>422</v>
      </c>
      <c r="J22" s="8"/>
    </row>
    <row r="23" spans="1:10" x14ac:dyDescent="0.4">
      <c r="A23" t="s">
        <v>448</v>
      </c>
      <c r="E23" t="s">
        <v>412</v>
      </c>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order_gen_buy_CLMKabuNew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7" r:id="rId5" name="Button 5">
              <controlPr defaultSize="0" print="0" autoFill="0" autoPict="0" macro="[0]!get_CLMGenbutuKabuList">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8198" r:id="rId6" name="Button 6">
              <controlPr defaultSize="0" print="0" autoFill="0" autoPict="0" macro="[0]!order_gen_sell_CLMKabuNew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4"/>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77</v>
      </c>
      <c r="B1" s="16" t="s">
        <v>108</v>
      </c>
      <c r="F1" s="16" t="s">
        <v>115</v>
      </c>
      <c r="J1" s="16" t="s">
        <v>121</v>
      </c>
      <c r="N1" s="16" t="s">
        <v>117</v>
      </c>
      <c r="R1" s="16" t="s">
        <v>119</v>
      </c>
      <c r="V1" s="16" t="s">
        <v>178</v>
      </c>
      <c r="AB1" s="16" t="s">
        <v>179</v>
      </c>
    </row>
    <row r="2" spans="1:30" s="16" customFormat="1" ht="46.5" customHeight="1" x14ac:dyDescent="0.4">
      <c r="A2" s="16" t="s">
        <v>78</v>
      </c>
      <c r="B2" s="12" t="s">
        <v>109</v>
      </c>
      <c r="F2" s="12" t="s">
        <v>116</v>
      </c>
      <c r="I2" s="11"/>
      <c r="J2" s="15" t="s">
        <v>122</v>
      </c>
      <c r="K2" s="11"/>
      <c r="N2" s="12" t="s">
        <v>118</v>
      </c>
      <c r="R2" s="12" t="s">
        <v>120</v>
      </c>
      <c r="V2" s="12" t="s">
        <v>177</v>
      </c>
      <c r="AB2" s="12" t="s">
        <v>159</v>
      </c>
    </row>
    <row r="3" spans="1:30" ht="51.75" customHeight="1" x14ac:dyDescent="0.4"/>
    <row r="4" spans="1:30" x14ac:dyDescent="0.4">
      <c r="A4" s="9" t="s">
        <v>60</v>
      </c>
      <c r="E4" s="9" t="s">
        <v>60</v>
      </c>
      <c r="M4" s="9" t="s">
        <v>60</v>
      </c>
      <c r="Q4" s="9" t="s">
        <v>60</v>
      </c>
      <c r="U4" s="9" t="s">
        <v>60</v>
      </c>
      <c r="AA4" s="9" t="s">
        <v>60</v>
      </c>
    </row>
    <row r="5" spans="1:30" x14ac:dyDescent="0.4">
      <c r="A5" t="s">
        <v>41</v>
      </c>
      <c r="B5" t="s">
        <v>40</v>
      </c>
      <c r="C5" t="s">
        <v>42</v>
      </c>
      <c r="E5" t="s">
        <v>41</v>
      </c>
      <c r="F5" t="s">
        <v>40</v>
      </c>
      <c r="G5" t="s">
        <v>42</v>
      </c>
      <c r="I5" t="s">
        <v>41</v>
      </c>
      <c r="J5" t="s">
        <v>40</v>
      </c>
      <c r="K5" t="s">
        <v>42</v>
      </c>
      <c r="M5" t="s">
        <v>41</v>
      </c>
      <c r="N5" t="s">
        <v>40</v>
      </c>
      <c r="O5" t="s">
        <v>42</v>
      </c>
      <c r="Q5" t="s">
        <v>41</v>
      </c>
      <c r="R5" t="s">
        <v>40</v>
      </c>
      <c r="S5" t="s">
        <v>42</v>
      </c>
      <c r="U5" t="s">
        <v>41</v>
      </c>
      <c r="V5" t="s">
        <v>40</v>
      </c>
      <c r="W5" t="s">
        <v>42</v>
      </c>
      <c r="AA5" t="s">
        <v>41</v>
      </c>
      <c r="AB5" t="s">
        <v>40</v>
      </c>
      <c r="AC5" t="s">
        <v>42</v>
      </c>
    </row>
    <row r="6" spans="1:30" x14ac:dyDescent="0.4">
      <c r="A6" s="7" t="s">
        <v>110</v>
      </c>
      <c r="B6" s="3"/>
      <c r="C6" s="7" t="s">
        <v>66</v>
      </c>
      <c r="E6" s="7" t="s">
        <v>110</v>
      </c>
      <c r="F6" s="3"/>
      <c r="G6" s="7" t="s">
        <v>49</v>
      </c>
      <c r="I6" s="7" t="s">
        <v>110</v>
      </c>
      <c r="J6" s="3"/>
      <c r="K6" s="7" t="s">
        <v>124</v>
      </c>
      <c r="M6" s="7" t="s">
        <v>110</v>
      </c>
      <c r="N6" s="3"/>
      <c r="O6" s="7" t="s">
        <v>49</v>
      </c>
      <c r="Q6" s="7" t="s">
        <v>110</v>
      </c>
      <c r="R6" s="3"/>
      <c r="S6" s="7" t="s">
        <v>49</v>
      </c>
      <c r="U6" s="7" t="s">
        <v>110</v>
      </c>
      <c r="V6" s="3"/>
      <c r="W6" s="7" t="s">
        <v>49</v>
      </c>
      <c r="AA6" s="7" t="s">
        <v>110</v>
      </c>
      <c r="AB6" s="3"/>
      <c r="AC6" s="7" t="s">
        <v>49</v>
      </c>
    </row>
    <row r="7" spans="1:30" x14ac:dyDescent="0.4">
      <c r="A7" s="7" t="s">
        <v>111</v>
      </c>
      <c r="B7" s="3" t="s">
        <v>67</v>
      </c>
      <c r="C7" s="7" t="s">
        <v>68</v>
      </c>
      <c r="E7" s="7" t="s">
        <v>111</v>
      </c>
      <c r="F7" s="3" t="s">
        <v>57</v>
      </c>
      <c r="G7" s="7" t="s">
        <v>50</v>
      </c>
      <c r="I7" t="s">
        <v>94</v>
      </c>
      <c r="K7" t="s">
        <v>123</v>
      </c>
      <c r="M7" s="7" t="s">
        <v>111</v>
      </c>
      <c r="N7" s="3" t="s">
        <v>57</v>
      </c>
      <c r="O7" s="7" t="s">
        <v>50</v>
      </c>
      <c r="Q7" s="7" t="s">
        <v>111</v>
      </c>
      <c r="R7" s="3" t="s">
        <v>57</v>
      </c>
      <c r="S7" s="7" t="s">
        <v>50</v>
      </c>
      <c r="U7" s="7" t="s">
        <v>111</v>
      </c>
      <c r="V7" s="3" t="s">
        <v>348</v>
      </c>
      <c r="W7" s="7" t="s">
        <v>50</v>
      </c>
      <c r="AA7" s="7" t="s">
        <v>111</v>
      </c>
      <c r="AB7" s="3" t="s">
        <v>57</v>
      </c>
      <c r="AC7" s="7" t="s">
        <v>50</v>
      </c>
    </row>
    <row r="8" spans="1:30" x14ac:dyDescent="0.4">
      <c r="A8" t="s">
        <v>112</v>
      </c>
      <c r="B8" s="4">
        <v>0</v>
      </c>
      <c r="C8" t="s">
        <v>69</v>
      </c>
      <c r="E8" t="s">
        <v>112</v>
      </c>
      <c r="F8" s="4">
        <v>0</v>
      </c>
      <c r="G8" t="s">
        <v>51</v>
      </c>
      <c r="I8" t="s">
        <v>94</v>
      </c>
      <c r="M8" t="s">
        <v>112</v>
      </c>
      <c r="N8" s="4">
        <v>0</v>
      </c>
      <c r="O8" t="s">
        <v>51</v>
      </c>
      <c r="Q8" t="s">
        <v>112</v>
      </c>
      <c r="R8" s="4">
        <v>0</v>
      </c>
      <c r="S8" t="s">
        <v>51</v>
      </c>
      <c r="U8" t="s">
        <v>112</v>
      </c>
      <c r="V8" s="3" t="s">
        <v>349</v>
      </c>
      <c r="W8" t="s">
        <v>51</v>
      </c>
      <c r="AA8" t="s">
        <v>112</v>
      </c>
      <c r="AB8" s="3" t="s">
        <v>349</v>
      </c>
      <c r="AC8" t="s">
        <v>51</v>
      </c>
    </row>
    <row r="9" spans="1:30" x14ac:dyDescent="0.4">
      <c r="A9" t="s">
        <v>113</v>
      </c>
      <c r="B9" s="4"/>
      <c r="C9" t="s">
        <v>70</v>
      </c>
      <c r="E9" t="s">
        <v>113</v>
      </c>
      <c r="F9" s="4"/>
      <c r="G9" t="s">
        <v>52</v>
      </c>
      <c r="I9" t="s">
        <v>94</v>
      </c>
      <c r="M9" t="s">
        <v>113</v>
      </c>
      <c r="N9" s="4"/>
      <c r="O9" t="s">
        <v>52</v>
      </c>
      <c r="Q9" t="s">
        <v>113</v>
      </c>
      <c r="R9" s="4"/>
      <c r="S9" t="s">
        <v>52</v>
      </c>
      <c r="U9" t="s">
        <v>113</v>
      </c>
      <c r="V9" s="3"/>
      <c r="W9" t="s">
        <v>52</v>
      </c>
      <c r="AA9" t="s">
        <v>113</v>
      </c>
      <c r="AB9" s="3"/>
      <c r="AC9" t="s">
        <v>52</v>
      </c>
    </row>
    <row r="10" spans="1:30" x14ac:dyDescent="0.4">
      <c r="A10" t="s">
        <v>114</v>
      </c>
      <c r="B10" s="4"/>
      <c r="E10" t="s">
        <v>114</v>
      </c>
      <c r="F10" s="4"/>
      <c r="I10" t="s">
        <v>94</v>
      </c>
      <c r="M10" t="s">
        <v>114</v>
      </c>
      <c r="N10" s="4"/>
      <c r="Q10" t="s">
        <v>114</v>
      </c>
      <c r="R10" s="4"/>
      <c r="U10" t="s">
        <v>114</v>
      </c>
      <c r="V10" s="3"/>
      <c r="AA10" t="s">
        <v>114</v>
      </c>
      <c r="AB10" s="3"/>
    </row>
    <row r="11" spans="1:30" x14ac:dyDescent="0.4">
      <c r="B11" t="s">
        <v>126</v>
      </c>
      <c r="F11" t="s">
        <v>126</v>
      </c>
      <c r="I11" t="s">
        <v>94</v>
      </c>
      <c r="N11" t="s">
        <v>126</v>
      </c>
      <c r="R11" t="s">
        <v>126</v>
      </c>
    </row>
    <row r="12" spans="1:30" x14ac:dyDescent="0.4">
      <c r="N12" t="s">
        <v>125</v>
      </c>
      <c r="R12" t="s">
        <v>125</v>
      </c>
    </row>
    <row r="13" spans="1:30" s="12" customFormat="1" x14ac:dyDescent="0.4">
      <c r="I13"/>
      <c r="J13"/>
      <c r="K13"/>
      <c r="U13" t="s">
        <v>135</v>
      </c>
      <c r="V13" t="s">
        <v>127</v>
      </c>
      <c r="W13" t="s">
        <v>128</v>
      </c>
      <c r="X13" t="s">
        <v>129</v>
      </c>
      <c r="AA13" t="s">
        <v>135</v>
      </c>
      <c r="AB13" t="s">
        <v>127</v>
      </c>
      <c r="AC13" t="s">
        <v>128</v>
      </c>
      <c r="AD13" t="s">
        <v>129</v>
      </c>
    </row>
    <row r="14" spans="1:30" ht="37.5" x14ac:dyDescent="0.4">
      <c r="A14" t="s">
        <v>58</v>
      </c>
      <c r="E14" t="s">
        <v>58</v>
      </c>
      <c r="I14" t="s">
        <v>64</v>
      </c>
      <c r="M14" t="s">
        <v>58</v>
      </c>
      <c r="Q14" t="s">
        <v>58</v>
      </c>
      <c r="V14" s="10" t="s">
        <v>130</v>
      </c>
      <c r="W14" t="s">
        <v>131</v>
      </c>
      <c r="X14" t="s">
        <v>132</v>
      </c>
      <c r="AB14" s="10" t="s">
        <v>130</v>
      </c>
      <c r="AC14" t="s">
        <v>131</v>
      </c>
      <c r="AD14" t="s">
        <v>132</v>
      </c>
    </row>
    <row r="15" spans="1:30" x14ac:dyDescent="0.4">
      <c r="U15" s="12"/>
      <c r="V15" s="17">
        <v>202512060000029</v>
      </c>
      <c r="W15" s="18">
        <v>1</v>
      </c>
      <c r="X15" s="18">
        <v>100</v>
      </c>
      <c r="AA15" s="12"/>
      <c r="AB15" s="17">
        <v>202512130000001</v>
      </c>
      <c r="AC15" s="18">
        <v>3</v>
      </c>
      <c r="AD15" s="18">
        <v>100</v>
      </c>
    </row>
    <row r="16" spans="1:30" x14ac:dyDescent="0.4">
      <c r="B16" t="s">
        <v>405</v>
      </c>
      <c r="F16" t="s">
        <v>405</v>
      </c>
      <c r="J16" t="s">
        <v>405</v>
      </c>
      <c r="N16" t="s">
        <v>405</v>
      </c>
      <c r="R16" t="s">
        <v>405</v>
      </c>
      <c r="V16" s="17">
        <v>202512060000024</v>
      </c>
      <c r="W16" s="18">
        <v>2</v>
      </c>
      <c r="X16" s="18">
        <v>100</v>
      </c>
      <c r="AB16" s="17">
        <v>202512130000007</v>
      </c>
      <c r="AC16" s="18">
        <v>2</v>
      </c>
      <c r="AD16" s="18">
        <v>100</v>
      </c>
    </row>
    <row r="17" spans="1:30" x14ac:dyDescent="0.4">
      <c r="A17" t="s">
        <v>399</v>
      </c>
      <c r="B17" s="8">
        <v>40</v>
      </c>
      <c r="E17" t="s">
        <v>486</v>
      </c>
      <c r="F17" s="8">
        <v>41</v>
      </c>
      <c r="H17" s="7"/>
      <c r="I17" t="s">
        <v>399</v>
      </c>
      <c r="J17" s="8">
        <v>22</v>
      </c>
      <c r="L17" s="7"/>
      <c r="M17" t="s">
        <v>466</v>
      </c>
      <c r="N17" s="8">
        <v>20</v>
      </c>
      <c r="Q17" t="s">
        <v>430</v>
      </c>
      <c r="R17" s="8">
        <v>11</v>
      </c>
      <c r="V17" s="17"/>
      <c r="W17" s="18"/>
      <c r="X17" s="18"/>
      <c r="AB17" s="17">
        <v>202512130000005</v>
      </c>
      <c r="AC17" s="18">
        <v>1</v>
      </c>
      <c r="AD17" s="18">
        <v>100</v>
      </c>
    </row>
    <row r="18" spans="1:30" x14ac:dyDescent="0.4">
      <c r="A18" t="s">
        <v>457</v>
      </c>
      <c r="B18" s="8" t="s">
        <v>484</v>
      </c>
      <c r="E18" t="s">
        <v>487</v>
      </c>
      <c r="F18" s="8" t="s">
        <v>485</v>
      </c>
      <c r="H18" s="7"/>
      <c r="I18" t="s">
        <v>424</v>
      </c>
      <c r="J18" s="13" t="s">
        <v>469</v>
      </c>
      <c r="L18" s="7"/>
      <c r="M18" t="s">
        <v>424</v>
      </c>
      <c r="N18" s="8" t="s">
        <v>465</v>
      </c>
      <c r="Q18" t="s">
        <v>431</v>
      </c>
      <c r="R18" s="8" t="s">
        <v>76</v>
      </c>
      <c r="V18" s="17"/>
      <c r="W18" s="18"/>
      <c r="X18" s="18"/>
      <c r="AB18" s="17"/>
      <c r="AC18" s="18"/>
      <c r="AD18" s="18"/>
    </row>
    <row r="19" spans="1:30" x14ac:dyDescent="0.4">
      <c r="A19" t="s">
        <v>409</v>
      </c>
      <c r="B19" s="8" t="s">
        <v>76</v>
      </c>
      <c r="E19" t="s">
        <v>409</v>
      </c>
      <c r="F19" s="8" t="s">
        <v>76</v>
      </c>
      <c r="I19" t="s">
        <v>470</v>
      </c>
      <c r="J19" s="14" t="s">
        <v>133</v>
      </c>
      <c r="M19" t="s">
        <v>409</v>
      </c>
      <c r="N19" s="8" t="s">
        <v>76</v>
      </c>
      <c r="Q19" t="s">
        <v>432</v>
      </c>
      <c r="R19" s="8">
        <v>0</v>
      </c>
      <c r="V19" s="17"/>
      <c r="W19" s="18"/>
      <c r="X19" s="18"/>
      <c r="AB19" s="17"/>
      <c r="AC19" s="18"/>
      <c r="AD19" s="18"/>
    </row>
    <row r="20" spans="1:30" ht="33" x14ac:dyDescent="0.4">
      <c r="A20" t="s">
        <v>458</v>
      </c>
      <c r="B20" s="8">
        <v>0</v>
      </c>
      <c r="E20" t="s">
        <v>410</v>
      </c>
      <c r="F20" s="8">
        <v>0</v>
      </c>
      <c r="I20" t="s">
        <v>459</v>
      </c>
      <c r="J20" s="14">
        <v>0</v>
      </c>
      <c r="M20" t="s">
        <v>467</v>
      </c>
      <c r="N20" s="8">
        <v>0</v>
      </c>
      <c r="Q20" t="s">
        <v>433</v>
      </c>
      <c r="R20" s="8"/>
      <c r="V20" s="19"/>
      <c r="W20" s="20" t="s">
        <v>180</v>
      </c>
      <c r="X20" s="20"/>
      <c r="AB20" s="19" t="s">
        <v>134</v>
      </c>
      <c r="AC20" s="20" t="s">
        <v>180</v>
      </c>
      <c r="AD20" s="20"/>
    </row>
    <row r="21" spans="1:30" x14ac:dyDescent="0.4">
      <c r="A21" t="s">
        <v>404</v>
      </c>
      <c r="B21" s="8"/>
      <c r="E21" t="s">
        <v>404</v>
      </c>
      <c r="F21" s="8"/>
      <c r="I21" t="s">
        <v>404</v>
      </c>
      <c r="J21" s="8"/>
      <c r="M21" t="s">
        <v>404</v>
      </c>
      <c r="N21" s="8"/>
      <c r="Q21" t="s">
        <v>429</v>
      </c>
      <c r="R21" s="8">
        <v>0</v>
      </c>
    </row>
    <row r="22" spans="1:30" x14ac:dyDescent="0.4">
      <c r="A22" t="s">
        <v>411</v>
      </c>
      <c r="B22" s="8">
        <v>0</v>
      </c>
      <c r="E22" t="s">
        <v>488</v>
      </c>
      <c r="F22" s="8">
        <v>0</v>
      </c>
      <c r="I22" t="s">
        <v>411</v>
      </c>
      <c r="J22" s="8">
        <v>0</v>
      </c>
      <c r="M22" t="s">
        <v>411</v>
      </c>
      <c r="N22" s="8">
        <v>0</v>
      </c>
      <c r="Q22" t="s">
        <v>434</v>
      </c>
      <c r="R22" s="8"/>
    </row>
    <row r="23" spans="1:30" x14ac:dyDescent="0.4">
      <c r="A23" t="s">
        <v>412</v>
      </c>
      <c r="B23" s="8"/>
      <c r="E23" t="s">
        <v>489</v>
      </c>
      <c r="F23" s="8"/>
      <c r="I23" t="s">
        <v>460</v>
      </c>
      <c r="J23" s="8"/>
      <c r="M23" t="s">
        <v>468</v>
      </c>
      <c r="N23" s="8"/>
      <c r="R23" s="8">
        <v>0</v>
      </c>
    </row>
    <row r="26" spans="1:30" x14ac:dyDescent="0.4">
      <c r="V26" t="s">
        <v>405</v>
      </c>
      <c r="AB26" t="s">
        <v>405</v>
      </c>
    </row>
    <row r="27" spans="1:30" x14ac:dyDescent="0.4">
      <c r="U27" t="s">
        <v>436</v>
      </c>
      <c r="V27" s="8">
        <v>3</v>
      </c>
      <c r="AA27" t="s">
        <v>462</v>
      </c>
      <c r="AB27" s="8">
        <v>17</v>
      </c>
    </row>
    <row r="28" spans="1:30" x14ac:dyDescent="0.4">
      <c r="U28" t="s">
        <v>424</v>
      </c>
      <c r="V28" s="8" t="s">
        <v>443</v>
      </c>
      <c r="AA28" t="s">
        <v>463</v>
      </c>
      <c r="AB28" s="8" t="s">
        <v>461</v>
      </c>
    </row>
    <row r="29" spans="1:30" x14ac:dyDescent="0.4">
      <c r="U29" t="s">
        <v>437</v>
      </c>
      <c r="V29" s="8" t="s">
        <v>76</v>
      </c>
      <c r="AA29" t="s">
        <v>409</v>
      </c>
      <c r="AB29" s="8" t="s">
        <v>76</v>
      </c>
    </row>
    <row r="30" spans="1:30" x14ac:dyDescent="0.4">
      <c r="U30" t="s">
        <v>440</v>
      </c>
      <c r="V30" s="8">
        <v>0</v>
      </c>
      <c r="AA30" t="s">
        <v>464</v>
      </c>
      <c r="AB30" s="8">
        <v>0</v>
      </c>
    </row>
    <row r="31" spans="1:30" x14ac:dyDescent="0.4">
      <c r="U31" t="s">
        <v>441</v>
      </c>
      <c r="V31" s="8"/>
      <c r="AA31" t="s">
        <v>404</v>
      </c>
      <c r="AB31" s="8"/>
    </row>
    <row r="32" spans="1:30" x14ac:dyDescent="0.4">
      <c r="U32" t="s">
        <v>438</v>
      </c>
      <c r="V32" s="8">
        <v>0</v>
      </c>
      <c r="AA32" t="s">
        <v>411</v>
      </c>
      <c r="AB32">
        <v>0</v>
      </c>
    </row>
    <row r="33" spans="21:27" x14ac:dyDescent="0.4">
      <c r="U33" t="s">
        <v>442</v>
      </c>
      <c r="V33" s="8"/>
      <c r="AA33" t="s">
        <v>412</v>
      </c>
    </row>
    <row r="34" spans="21:27" x14ac:dyDescent="0.4">
      <c r="U34" t="s">
        <v>439</v>
      </c>
      <c r="V34" s="8"/>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5"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6"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7"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8"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9"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10"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23"/>
  <sheetViews>
    <sheetView workbookViewId="0"/>
  </sheetViews>
  <sheetFormatPr defaultRowHeight="18.75" x14ac:dyDescent="0.4"/>
  <cols>
    <col min="1" max="1" width="14.875" customWidth="1"/>
    <col min="2" max="2" width="24.125" customWidth="1"/>
    <col min="3" max="3" width="21.375" customWidth="1"/>
    <col min="4" max="4" width="5.875" customWidth="1"/>
    <col min="5" max="5" width="12.125" customWidth="1"/>
    <col min="6" max="6" width="25.125" customWidth="1"/>
    <col min="9" max="9" width="25" customWidth="1"/>
    <col min="10" max="10" width="25.75" customWidth="1"/>
    <col min="11" max="11" width="43.25" customWidth="1"/>
    <col min="12" max="12" width="15.625" customWidth="1"/>
    <col min="13" max="13" width="14.25" bestFit="1" customWidth="1"/>
  </cols>
  <sheetData>
    <row r="1" spans="1:13" s="16" customFormat="1" ht="17.25" x14ac:dyDescent="0.4">
      <c r="A1" s="16" t="s">
        <v>77</v>
      </c>
      <c r="B1" s="16" t="s">
        <v>428</v>
      </c>
      <c r="F1" s="16" t="s">
        <v>427</v>
      </c>
      <c r="J1" s="16" t="s">
        <v>426</v>
      </c>
    </row>
    <row r="2" spans="1:13" x14ac:dyDescent="0.4">
      <c r="A2" s="11" t="s">
        <v>78</v>
      </c>
      <c r="B2" s="12" t="s">
        <v>100</v>
      </c>
      <c r="C2" s="12"/>
      <c r="D2" s="12"/>
      <c r="E2" s="12"/>
      <c r="F2" s="12" t="s">
        <v>101</v>
      </c>
      <c r="I2" s="12"/>
      <c r="J2" s="12" t="s">
        <v>168</v>
      </c>
      <c r="K2" s="12"/>
      <c r="L2" s="12"/>
      <c r="M2" s="11"/>
    </row>
    <row r="3" spans="1:13" ht="40.5" customHeight="1" x14ac:dyDescent="0.4"/>
    <row r="4" spans="1:13" x14ac:dyDescent="0.4">
      <c r="A4" s="9" t="s">
        <v>62</v>
      </c>
      <c r="E4" s="9" t="s">
        <v>65</v>
      </c>
      <c r="I4" s="9" t="s">
        <v>60</v>
      </c>
    </row>
    <row r="5" spans="1:13" x14ac:dyDescent="0.4">
      <c r="A5" t="s">
        <v>41</v>
      </c>
      <c r="B5" t="s">
        <v>40</v>
      </c>
      <c r="C5" t="s">
        <v>42</v>
      </c>
      <c r="F5" t="s">
        <v>107</v>
      </c>
      <c r="I5" t="s">
        <v>41</v>
      </c>
      <c r="J5" t="s">
        <v>73</v>
      </c>
      <c r="K5" t="s">
        <v>42</v>
      </c>
      <c r="M5" t="s">
        <v>63</v>
      </c>
    </row>
    <row r="6" spans="1:13" x14ac:dyDescent="0.4">
      <c r="A6" s="7" t="s">
        <v>81</v>
      </c>
      <c r="B6" s="3">
        <v>13000016</v>
      </c>
      <c r="I6" s="7" t="s">
        <v>81</v>
      </c>
      <c r="J6" s="3">
        <v>13000001</v>
      </c>
      <c r="K6" t="s">
        <v>88</v>
      </c>
      <c r="M6" t="s">
        <v>63</v>
      </c>
    </row>
    <row r="7" spans="1:13" x14ac:dyDescent="0.4">
      <c r="A7" s="7" t="s">
        <v>82</v>
      </c>
      <c r="B7" s="3">
        <v>20251213</v>
      </c>
      <c r="I7" s="7" t="s">
        <v>82</v>
      </c>
      <c r="J7" s="3">
        <v>20251213</v>
      </c>
      <c r="K7" t="s">
        <v>87</v>
      </c>
      <c r="M7" t="s">
        <v>63</v>
      </c>
    </row>
    <row r="8" spans="1:13" x14ac:dyDescent="0.4">
      <c r="B8" s="11" t="s">
        <v>61</v>
      </c>
      <c r="I8" t="s">
        <v>83</v>
      </c>
      <c r="J8" s="4" t="s">
        <v>90</v>
      </c>
      <c r="K8" t="s">
        <v>84</v>
      </c>
      <c r="M8" t="s">
        <v>63</v>
      </c>
    </row>
    <row r="9" spans="1:13" x14ac:dyDescent="0.4">
      <c r="B9" t="s">
        <v>105</v>
      </c>
      <c r="I9" t="s">
        <v>85</v>
      </c>
      <c r="J9" s="4">
        <v>3160</v>
      </c>
      <c r="K9" t="s">
        <v>86</v>
      </c>
      <c r="M9" t="s">
        <v>63</v>
      </c>
    </row>
    <row r="10" spans="1:13" x14ac:dyDescent="0.4">
      <c r="I10" t="s">
        <v>89</v>
      </c>
      <c r="J10" s="4" t="s">
        <v>90</v>
      </c>
      <c r="K10" t="s">
        <v>93</v>
      </c>
      <c r="M10" t="s">
        <v>63</v>
      </c>
    </row>
    <row r="11" spans="1:13" x14ac:dyDescent="0.4">
      <c r="J11" s="11" t="s">
        <v>92</v>
      </c>
      <c r="M11" t="s">
        <v>63</v>
      </c>
    </row>
    <row r="12" spans="1:13" x14ac:dyDescent="0.4">
      <c r="J12" t="s">
        <v>191</v>
      </c>
    </row>
    <row r="13" spans="1:13" x14ac:dyDescent="0.4">
      <c r="J13" t="s">
        <v>106</v>
      </c>
    </row>
    <row r="16" spans="1:13" x14ac:dyDescent="0.4">
      <c r="B16" t="s">
        <v>405</v>
      </c>
      <c r="F16" t="s">
        <v>405</v>
      </c>
      <c r="J16" t="s">
        <v>405</v>
      </c>
    </row>
    <row r="17" spans="1:11" x14ac:dyDescent="0.4">
      <c r="A17" t="s">
        <v>399</v>
      </c>
      <c r="B17" s="8">
        <v>36</v>
      </c>
      <c r="E17" t="s">
        <v>493</v>
      </c>
      <c r="F17" s="8">
        <v>43</v>
      </c>
      <c r="I17" t="s">
        <v>399</v>
      </c>
      <c r="J17" s="8">
        <v>29</v>
      </c>
    </row>
    <row r="18" spans="1:11" x14ac:dyDescent="0.4">
      <c r="A18" t="s">
        <v>474</v>
      </c>
      <c r="B18" s="8" t="s">
        <v>483</v>
      </c>
      <c r="E18" t="s">
        <v>494</v>
      </c>
      <c r="F18" s="8" t="s">
        <v>492</v>
      </c>
      <c r="I18" t="s">
        <v>424</v>
      </c>
      <c r="J18" s="8" t="s">
        <v>479</v>
      </c>
    </row>
    <row r="19" spans="1:11" x14ac:dyDescent="0.4">
      <c r="A19" t="s">
        <v>471</v>
      </c>
      <c r="B19" s="8" t="s">
        <v>425</v>
      </c>
      <c r="E19" t="s">
        <v>495</v>
      </c>
      <c r="F19" s="8" t="s">
        <v>75</v>
      </c>
      <c r="I19" t="s">
        <v>409</v>
      </c>
      <c r="J19" s="8" t="s">
        <v>91</v>
      </c>
    </row>
    <row r="20" spans="1:11" x14ac:dyDescent="0.4">
      <c r="A20" t="s">
        <v>410</v>
      </c>
      <c r="B20" s="8">
        <v>0</v>
      </c>
      <c r="E20" t="s">
        <v>496</v>
      </c>
      <c r="F20" s="8">
        <v>0</v>
      </c>
      <c r="I20" t="s">
        <v>480</v>
      </c>
      <c r="J20" s="8">
        <v>0</v>
      </c>
      <c r="K20" t="s">
        <v>435</v>
      </c>
    </row>
    <row r="21" spans="1:11" x14ac:dyDescent="0.4">
      <c r="A21" t="s">
        <v>472</v>
      </c>
      <c r="B21" s="8"/>
      <c r="E21" t="s">
        <v>490</v>
      </c>
      <c r="F21" s="8"/>
      <c r="I21" t="s">
        <v>404</v>
      </c>
      <c r="J21" s="8"/>
    </row>
    <row r="22" spans="1:11" x14ac:dyDescent="0.4">
      <c r="A22" t="s">
        <v>411</v>
      </c>
      <c r="B22" s="8">
        <v>0</v>
      </c>
      <c r="E22" t="s">
        <v>497</v>
      </c>
      <c r="F22" s="8">
        <v>0</v>
      </c>
      <c r="I22" t="s">
        <v>481</v>
      </c>
      <c r="J22" s="8">
        <v>0</v>
      </c>
    </row>
    <row r="23" spans="1:11" x14ac:dyDescent="0.4">
      <c r="A23" t="s">
        <v>476</v>
      </c>
      <c r="E23" t="s">
        <v>498</v>
      </c>
      <c r="I23" t="s">
        <v>482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exec_CLMKabuCancel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25603" r:id="rId4" name="Button 3">
              <controlPr defaultSize="0" print="0" autoFill="0" autoPict="0" macro="[0]!exec_CLMKabuCancelOrderAll">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25604" r:id="rId5" name="Button 4">
              <controlPr defaultSize="0" print="0" autoFill="0" autoPict="0" macro="[0]!exec_CLMKabuCorrect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77</v>
      </c>
      <c r="B1" s="11" t="s">
        <v>341</v>
      </c>
      <c r="C1" s="11"/>
      <c r="D1" s="11"/>
      <c r="E1" s="11"/>
      <c r="F1" s="11" t="s">
        <v>340</v>
      </c>
    </row>
    <row r="2" spans="1:24" ht="19.5" thickBot="1" x14ac:dyDescent="0.45">
      <c r="A2" s="11" t="s">
        <v>78</v>
      </c>
      <c r="B2" s="11"/>
      <c r="C2" s="11"/>
      <c r="D2" s="11"/>
      <c r="E2" s="11"/>
      <c r="F2" s="15" t="s">
        <v>171</v>
      </c>
      <c r="O2" t="s">
        <v>339</v>
      </c>
      <c r="Q2" s="34" t="s">
        <v>347</v>
      </c>
      <c r="R2" s="35" t="s">
        <v>346</v>
      </c>
    </row>
    <row r="3" spans="1:24" ht="49.5" customHeight="1" thickTop="1" x14ac:dyDescent="0.4">
      <c r="H3" s="25" t="s">
        <v>333</v>
      </c>
      <c r="I3" s="26" t="s">
        <v>337</v>
      </c>
      <c r="J3" s="26" t="s">
        <v>335</v>
      </c>
      <c r="K3" s="26" t="s">
        <v>334</v>
      </c>
      <c r="L3" s="27" t="s">
        <v>336</v>
      </c>
      <c r="N3" t="s">
        <v>192</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6" t="s">
        <v>350</v>
      </c>
      <c r="F4" s="36" t="s">
        <v>351</v>
      </c>
      <c r="H4" s="28">
        <v>1</v>
      </c>
      <c r="I4" s="29" t="s">
        <v>241</v>
      </c>
      <c r="J4" s="29" t="s">
        <v>242</v>
      </c>
      <c r="K4" s="29" t="str">
        <f>MID(I4,2,LEN(I4)-1)</f>
        <v>AAV</v>
      </c>
      <c r="L4" s="30" t="str">
        <f>LEFT(I4,1)</f>
        <v>p</v>
      </c>
      <c r="N4" s="4">
        <v>1332</v>
      </c>
    </row>
    <row r="5" spans="1:24" x14ac:dyDescent="0.4">
      <c r="A5" t="s">
        <v>41</v>
      </c>
      <c r="B5" t="s">
        <v>73</v>
      </c>
      <c r="C5" t="s">
        <v>42</v>
      </c>
      <c r="H5" s="28">
        <v>2</v>
      </c>
      <c r="I5" s="29" t="s">
        <v>243</v>
      </c>
      <c r="J5" s="29" t="s">
        <v>244</v>
      </c>
      <c r="K5" s="29" t="str">
        <f t="shared" ref="K5:K68" si="0">MID(I5,2,LEN(I5)-1)</f>
        <v>ABV</v>
      </c>
      <c r="L5" s="30" t="str">
        <f t="shared" ref="L5:L68" si="1">LEFT(I5,1)</f>
        <v>p</v>
      </c>
      <c r="N5" s="4">
        <v>1333</v>
      </c>
      <c r="P5" s="37" t="s">
        <v>354</v>
      </c>
    </row>
    <row r="6" spans="1:24" x14ac:dyDescent="0.4">
      <c r="A6" s="7" t="s">
        <v>342</v>
      </c>
      <c r="B6" s="3">
        <v>6501</v>
      </c>
      <c r="C6" s="7" t="s">
        <v>344</v>
      </c>
      <c r="H6" s="28">
        <v>3</v>
      </c>
      <c r="I6" s="29" t="s">
        <v>199</v>
      </c>
      <c r="J6" s="29" t="s">
        <v>227</v>
      </c>
      <c r="K6" s="29" t="str">
        <f t="shared" si="0"/>
        <v>AV</v>
      </c>
      <c r="L6" s="30" t="str">
        <f t="shared" si="1"/>
        <v>p</v>
      </c>
      <c r="N6" s="4">
        <v>1605</v>
      </c>
      <c r="P6" s="36" t="s">
        <v>357</v>
      </c>
    </row>
    <row r="7" spans="1:24" x14ac:dyDescent="0.4">
      <c r="A7" s="7" t="s">
        <v>343</v>
      </c>
      <c r="B7" s="3" t="s">
        <v>57</v>
      </c>
      <c r="C7" s="7" t="s">
        <v>50</v>
      </c>
      <c r="H7" s="28">
        <v>4</v>
      </c>
      <c r="I7" s="29" t="s">
        <v>202</v>
      </c>
      <c r="J7" s="29" t="s">
        <v>230</v>
      </c>
      <c r="K7" s="29" t="str">
        <f t="shared" si="0"/>
        <v>BV</v>
      </c>
      <c r="L7" s="30" t="str">
        <f t="shared" si="1"/>
        <v>p</v>
      </c>
      <c r="N7" s="4">
        <v>1721</v>
      </c>
      <c r="P7" s="36" t="s">
        <v>355</v>
      </c>
      <c r="U7" s="24"/>
    </row>
    <row r="8" spans="1:24" x14ac:dyDescent="0.4">
      <c r="H8" s="28">
        <v>5</v>
      </c>
      <c r="I8" s="29" t="s">
        <v>233</v>
      </c>
      <c r="J8" s="29" t="s">
        <v>234</v>
      </c>
      <c r="K8" s="29" t="str">
        <f t="shared" si="0"/>
        <v>DCFS</v>
      </c>
      <c r="L8" s="30" t="str">
        <f t="shared" si="1"/>
        <v>x</v>
      </c>
      <c r="N8" s="4">
        <v>1801</v>
      </c>
    </row>
    <row r="9" spans="1:24" x14ac:dyDescent="0.4">
      <c r="H9" s="28">
        <v>6</v>
      </c>
      <c r="I9" s="29" t="s">
        <v>235</v>
      </c>
      <c r="J9" s="29" t="s">
        <v>236</v>
      </c>
      <c r="K9" s="29" t="str">
        <f t="shared" si="0"/>
        <v>DHF</v>
      </c>
      <c r="L9" s="30" t="str">
        <f t="shared" si="1"/>
        <v>p</v>
      </c>
      <c r="N9" s="4">
        <v>1802</v>
      </c>
      <c r="O9" s="38" t="s">
        <v>352</v>
      </c>
      <c r="P9" s="36" t="s">
        <v>356</v>
      </c>
    </row>
    <row r="10" spans="1:24" x14ac:dyDescent="0.4">
      <c r="H10" s="28">
        <v>7</v>
      </c>
      <c r="I10" s="29" t="s">
        <v>215</v>
      </c>
      <c r="J10" s="29" t="s">
        <v>216</v>
      </c>
      <c r="K10" s="29" t="str">
        <f t="shared" si="0"/>
        <v>DHP</v>
      </c>
      <c r="L10" s="30" t="str">
        <f t="shared" si="1"/>
        <v>p</v>
      </c>
      <c r="N10" s="4">
        <v>1803</v>
      </c>
      <c r="P10" s="36" t="s">
        <v>353</v>
      </c>
    </row>
    <row r="11" spans="1:24" x14ac:dyDescent="0.4">
      <c r="H11" s="28">
        <v>8</v>
      </c>
      <c r="I11" s="29" t="s">
        <v>217</v>
      </c>
      <c r="J11" s="29" t="s">
        <v>218</v>
      </c>
      <c r="K11" s="29" t="str">
        <f t="shared" si="0"/>
        <v>DHP:T</v>
      </c>
      <c r="L11" s="30" t="str">
        <f t="shared" si="1"/>
        <v>t</v>
      </c>
      <c r="N11" s="4">
        <v>1808</v>
      </c>
    </row>
    <row r="12" spans="1:24" x14ac:dyDescent="0.4">
      <c r="H12" s="28">
        <v>9</v>
      </c>
      <c r="I12" s="29" t="s">
        <v>239</v>
      </c>
      <c r="J12" s="29" t="s">
        <v>240</v>
      </c>
      <c r="K12" s="29" t="str">
        <f t="shared" si="0"/>
        <v>DJ</v>
      </c>
      <c r="L12" s="30" t="str">
        <f t="shared" si="1"/>
        <v>p</v>
      </c>
      <c r="N12" s="4">
        <v>1812</v>
      </c>
    </row>
    <row r="13" spans="1:24" x14ac:dyDescent="0.4">
      <c r="H13" s="28">
        <v>10</v>
      </c>
      <c r="I13" s="29" t="s">
        <v>237</v>
      </c>
      <c r="J13" s="29" t="s">
        <v>238</v>
      </c>
      <c r="K13" s="29" t="str">
        <f t="shared" si="0"/>
        <v>DLF</v>
      </c>
      <c r="L13" s="30" t="str">
        <f t="shared" si="1"/>
        <v>p</v>
      </c>
      <c r="N13" s="4">
        <v>1925</v>
      </c>
      <c r="P13" s="36" t="s">
        <v>500</v>
      </c>
    </row>
    <row r="14" spans="1:24" x14ac:dyDescent="0.4">
      <c r="A14" t="s">
        <v>64</v>
      </c>
      <c r="H14" s="28">
        <v>11</v>
      </c>
      <c r="I14" s="29" t="s">
        <v>219</v>
      </c>
      <c r="J14" s="29" t="s">
        <v>220</v>
      </c>
      <c r="K14" s="29" t="str">
        <f t="shared" si="0"/>
        <v>DLP</v>
      </c>
      <c r="L14" s="30" t="str">
        <f t="shared" si="1"/>
        <v>p</v>
      </c>
      <c r="N14" s="4">
        <v>1928</v>
      </c>
    </row>
    <row r="15" spans="1:24" x14ac:dyDescent="0.4">
      <c r="A15" t="s">
        <v>72</v>
      </c>
      <c r="B15" t="b">
        <v>1</v>
      </c>
      <c r="E15" t="s">
        <v>72</v>
      </c>
      <c r="F15" t="b">
        <v>1</v>
      </c>
      <c r="H15" s="28">
        <v>12</v>
      </c>
      <c r="I15" s="29" t="s">
        <v>221</v>
      </c>
      <c r="J15" s="29" t="s">
        <v>222</v>
      </c>
      <c r="K15" s="29" t="str">
        <f t="shared" si="0"/>
        <v>DLP:T</v>
      </c>
      <c r="L15" s="30" t="str">
        <f t="shared" si="1"/>
        <v>t</v>
      </c>
      <c r="N15" s="4">
        <v>1963</v>
      </c>
    </row>
    <row r="16" spans="1:24" x14ac:dyDescent="0.4">
      <c r="A16" t="s">
        <v>71</v>
      </c>
      <c r="B16" t="s">
        <v>405</v>
      </c>
      <c r="E16" t="s">
        <v>71</v>
      </c>
      <c r="F16" t="s">
        <v>405</v>
      </c>
      <c r="H16" s="28">
        <v>13</v>
      </c>
      <c r="I16" s="29" t="s">
        <v>211</v>
      </c>
      <c r="J16" s="29" t="s">
        <v>212</v>
      </c>
      <c r="K16" s="29" t="str">
        <f t="shared" si="0"/>
        <v>DOP</v>
      </c>
      <c r="L16" s="30" t="str">
        <f t="shared" si="1"/>
        <v>p</v>
      </c>
      <c r="N16" s="4">
        <v>2002</v>
      </c>
    </row>
    <row r="17" spans="1:14" x14ac:dyDescent="0.4">
      <c r="A17" t="s">
        <v>513</v>
      </c>
      <c r="B17" s="8">
        <v>45</v>
      </c>
      <c r="E17" t="s">
        <v>515</v>
      </c>
      <c r="F17" s="8">
        <v>20</v>
      </c>
      <c r="H17" s="28">
        <v>14</v>
      </c>
      <c r="I17" s="29" t="s">
        <v>213</v>
      </c>
      <c r="J17" s="29" t="s">
        <v>214</v>
      </c>
      <c r="K17" s="29" t="str">
        <f t="shared" si="0"/>
        <v>DOP:T</v>
      </c>
      <c r="L17" s="30" t="str">
        <f t="shared" si="1"/>
        <v>t</v>
      </c>
      <c r="N17" s="4">
        <v>2269</v>
      </c>
    </row>
    <row r="18" spans="1:14" x14ac:dyDescent="0.4">
      <c r="A18" t="s">
        <v>424</v>
      </c>
      <c r="B18" s="13" t="s">
        <v>547</v>
      </c>
      <c r="E18" t="s">
        <v>424</v>
      </c>
      <c r="F18" s="13" t="s">
        <v>516</v>
      </c>
      <c r="H18" s="28">
        <v>15</v>
      </c>
      <c r="I18" s="29" t="s">
        <v>207</v>
      </c>
      <c r="J18" s="29" t="s">
        <v>208</v>
      </c>
      <c r="K18" s="29" t="str">
        <f t="shared" si="0"/>
        <v>DPG</v>
      </c>
      <c r="L18" s="30" t="str">
        <f t="shared" si="1"/>
        <v>p</v>
      </c>
      <c r="N18" s="4">
        <v>2282</v>
      </c>
    </row>
    <row r="19" spans="1:14" x14ac:dyDescent="0.4">
      <c r="A19" t="s">
        <v>409</v>
      </c>
      <c r="B19" s="14" t="s">
        <v>345</v>
      </c>
      <c r="E19" t="s">
        <v>517</v>
      </c>
      <c r="F19" s="14" t="s">
        <v>380</v>
      </c>
      <c r="H19" s="28">
        <v>16</v>
      </c>
      <c r="I19" s="29" t="s">
        <v>193</v>
      </c>
      <c r="J19" s="29" t="s">
        <v>205</v>
      </c>
      <c r="K19" s="29" t="str">
        <f t="shared" si="0"/>
        <v>DPP</v>
      </c>
      <c r="L19" s="30" t="str">
        <f t="shared" si="1"/>
        <v>p</v>
      </c>
      <c r="N19" s="4">
        <v>2413</v>
      </c>
    </row>
    <row r="20" spans="1:14" x14ac:dyDescent="0.4">
      <c r="A20" t="s">
        <v>410</v>
      </c>
      <c r="B20" s="14">
        <v>0</v>
      </c>
      <c r="E20" t="s">
        <v>410</v>
      </c>
      <c r="F20" s="14">
        <v>0</v>
      </c>
      <c r="H20" s="28">
        <v>17</v>
      </c>
      <c r="I20" s="29" t="s">
        <v>194</v>
      </c>
      <c r="J20" s="29" t="s">
        <v>206</v>
      </c>
      <c r="K20" s="29" t="str">
        <f t="shared" si="0"/>
        <v>DPP:T</v>
      </c>
      <c r="L20" s="30" t="str">
        <f t="shared" si="1"/>
        <v>t</v>
      </c>
      <c r="N20" s="4">
        <v>2432</v>
      </c>
    </row>
    <row r="21" spans="1:14" x14ac:dyDescent="0.4">
      <c r="A21" t="s">
        <v>514</v>
      </c>
      <c r="B21" s="14"/>
      <c r="E21" t="s">
        <v>518</v>
      </c>
      <c r="F21" s="14"/>
      <c r="H21" s="28">
        <v>18</v>
      </c>
      <c r="I21" s="29" t="s">
        <v>223</v>
      </c>
      <c r="J21" s="29" t="s">
        <v>224</v>
      </c>
      <c r="K21" s="29" t="str">
        <f t="shared" si="0"/>
        <v>DV</v>
      </c>
      <c r="L21" s="30" t="str">
        <f t="shared" si="1"/>
        <v>p</v>
      </c>
      <c r="N21" s="4">
        <v>2501</v>
      </c>
    </row>
    <row r="22" spans="1:14" x14ac:dyDescent="0.4">
      <c r="A22" t="s">
        <v>548</v>
      </c>
      <c r="B22" s="14"/>
      <c r="E22" t="s">
        <v>519</v>
      </c>
      <c r="F22" s="14"/>
      <c r="H22" s="28">
        <v>19</v>
      </c>
      <c r="I22" s="29" t="s">
        <v>231</v>
      </c>
      <c r="J22" s="29" t="s">
        <v>232</v>
      </c>
      <c r="K22" s="29" t="str">
        <f t="shared" si="0"/>
        <v>DVES</v>
      </c>
      <c r="L22" s="30" t="str">
        <f t="shared" si="1"/>
        <v>x</v>
      </c>
      <c r="N22" s="4">
        <v>2502</v>
      </c>
    </row>
    <row r="23" spans="1:14" x14ac:dyDescent="0.4">
      <c r="A23" t="s">
        <v>412</v>
      </c>
      <c r="B23" s="14"/>
      <c r="E23" t="s">
        <v>412</v>
      </c>
      <c r="F23" s="14"/>
      <c r="H23" s="28">
        <v>20</v>
      </c>
      <c r="I23" s="29" t="s">
        <v>196</v>
      </c>
      <c r="J23" s="29" t="s">
        <v>210</v>
      </c>
      <c r="K23" s="29" t="str">
        <f t="shared" si="0"/>
        <v>DYRP</v>
      </c>
      <c r="L23" s="30" t="str">
        <f t="shared" si="1"/>
        <v>p</v>
      </c>
      <c r="N23" s="4">
        <v>2503</v>
      </c>
    </row>
    <row r="24" spans="1:14" x14ac:dyDescent="0.4">
      <c r="H24" s="28">
        <v>21</v>
      </c>
      <c r="I24" s="29" t="s">
        <v>195</v>
      </c>
      <c r="J24" s="29" t="s">
        <v>209</v>
      </c>
      <c r="K24" s="29" t="str">
        <f t="shared" si="0"/>
        <v>DYWP</v>
      </c>
      <c r="L24" s="30" t="str">
        <f t="shared" si="1"/>
        <v>p</v>
      </c>
      <c r="N24" s="4">
        <v>2531</v>
      </c>
    </row>
    <row r="25" spans="1:14" x14ac:dyDescent="0.4">
      <c r="H25" s="28">
        <v>22</v>
      </c>
      <c r="I25" s="29" t="s">
        <v>247</v>
      </c>
      <c r="J25" s="29" t="s">
        <v>248</v>
      </c>
      <c r="K25" s="29" t="str">
        <f t="shared" si="0"/>
        <v>GAV10</v>
      </c>
      <c r="L25" s="30" t="str">
        <f t="shared" si="1"/>
        <v>p</v>
      </c>
      <c r="N25" s="4">
        <v>2768</v>
      </c>
    </row>
    <row r="26" spans="1:14" x14ac:dyDescent="0.4">
      <c r="H26" s="28">
        <v>23</v>
      </c>
      <c r="I26" s="29" t="s">
        <v>249</v>
      </c>
      <c r="J26" s="29" t="s">
        <v>250</v>
      </c>
      <c r="K26" s="29" t="str">
        <f t="shared" si="0"/>
        <v>GAP10</v>
      </c>
      <c r="L26" s="30" t="str">
        <f t="shared" si="1"/>
        <v>p</v>
      </c>
      <c r="N26" s="4">
        <v>2801</v>
      </c>
    </row>
    <row r="27" spans="1:14" x14ac:dyDescent="0.4">
      <c r="H27" s="28">
        <v>24</v>
      </c>
      <c r="I27" s="29" t="s">
        <v>251</v>
      </c>
      <c r="J27" s="29" t="s">
        <v>252</v>
      </c>
      <c r="K27" s="29" t="str">
        <f t="shared" si="0"/>
        <v>GAV9</v>
      </c>
      <c r="L27" s="30" t="str">
        <f t="shared" si="1"/>
        <v>p</v>
      </c>
      <c r="N27" s="4">
        <v>2802</v>
      </c>
    </row>
    <row r="28" spans="1:14" x14ac:dyDescent="0.4">
      <c r="H28" s="28">
        <v>25</v>
      </c>
      <c r="I28" s="29" t="s">
        <v>253</v>
      </c>
      <c r="J28" s="29" t="s">
        <v>254</v>
      </c>
      <c r="K28" s="29" t="str">
        <f t="shared" si="0"/>
        <v>GAP9</v>
      </c>
      <c r="L28" s="30" t="str">
        <f t="shared" si="1"/>
        <v>p</v>
      </c>
      <c r="N28" s="4">
        <v>2871</v>
      </c>
    </row>
    <row r="29" spans="1:14" x14ac:dyDescent="0.4">
      <c r="H29" s="28">
        <v>26</v>
      </c>
      <c r="I29" s="29" t="s">
        <v>255</v>
      </c>
      <c r="J29" s="29" t="s">
        <v>256</v>
      </c>
      <c r="K29" s="29" t="str">
        <f t="shared" si="0"/>
        <v>GAV8</v>
      </c>
      <c r="L29" s="30" t="str">
        <f t="shared" si="1"/>
        <v>p</v>
      </c>
      <c r="N29" s="4">
        <v>2914</v>
      </c>
    </row>
    <row r="30" spans="1:14" x14ac:dyDescent="0.4">
      <c r="H30" s="28">
        <v>27</v>
      </c>
      <c r="I30" s="29" t="s">
        <v>257</v>
      </c>
      <c r="J30" s="29" t="s">
        <v>258</v>
      </c>
      <c r="K30" s="29" t="str">
        <f t="shared" si="0"/>
        <v>GAP8</v>
      </c>
      <c r="L30" s="30" t="str">
        <f t="shared" si="1"/>
        <v>p</v>
      </c>
      <c r="N30" s="4">
        <v>3086</v>
      </c>
    </row>
    <row r="31" spans="1:14" x14ac:dyDescent="0.4">
      <c r="H31" s="28">
        <v>28</v>
      </c>
      <c r="I31" s="29" t="s">
        <v>259</v>
      </c>
      <c r="J31" s="29" t="s">
        <v>260</v>
      </c>
      <c r="K31" s="29" t="str">
        <f t="shared" si="0"/>
        <v>GAV7</v>
      </c>
      <c r="L31" s="30" t="str">
        <f t="shared" si="1"/>
        <v>p</v>
      </c>
      <c r="N31" s="4">
        <v>3099</v>
      </c>
    </row>
    <row r="32" spans="1:14" x14ac:dyDescent="0.4">
      <c r="H32" s="28">
        <v>29</v>
      </c>
      <c r="I32" s="29" t="s">
        <v>261</v>
      </c>
      <c r="J32" s="29" t="s">
        <v>262</v>
      </c>
      <c r="K32" s="29" t="str">
        <f t="shared" si="0"/>
        <v>GAP7</v>
      </c>
      <c r="L32" s="30" t="str">
        <f t="shared" si="1"/>
        <v>p</v>
      </c>
      <c r="N32" s="4">
        <v>3101</v>
      </c>
    </row>
    <row r="33" spans="8:14" x14ac:dyDescent="0.4">
      <c r="H33" s="28">
        <v>30</v>
      </c>
      <c r="I33" s="29" t="s">
        <v>263</v>
      </c>
      <c r="J33" s="29" t="s">
        <v>264</v>
      </c>
      <c r="K33" s="29" t="str">
        <f t="shared" si="0"/>
        <v>GAV6</v>
      </c>
      <c r="L33" s="30" t="str">
        <f t="shared" si="1"/>
        <v>p</v>
      </c>
      <c r="N33" s="4">
        <v>3103</v>
      </c>
    </row>
    <row r="34" spans="8:14" x14ac:dyDescent="0.4">
      <c r="H34" s="28">
        <v>31</v>
      </c>
      <c r="I34" s="29" t="s">
        <v>265</v>
      </c>
      <c r="J34" s="29" t="s">
        <v>266</v>
      </c>
      <c r="K34" s="29" t="str">
        <f t="shared" si="0"/>
        <v>GAP6</v>
      </c>
      <c r="L34" s="30" t="str">
        <f t="shared" si="1"/>
        <v>p</v>
      </c>
      <c r="N34" s="4">
        <v>3289</v>
      </c>
    </row>
    <row r="35" spans="8:14" x14ac:dyDescent="0.4">
      <c r="H35" s="28">
        <v>32</v>
      </c>
      <c r="I35" s="29" t="s">
        <v>267</v>
      </c>
      <c r="J35" s="29" t="s">
        <v>268</v>
      </c>
      <c r="K35" s="29" t="str">
        <f t="shared" si="0"/>
        <v>GAV5</v>
      </c>
      <c r="L35" s="30" t="str">
        <f t="shared" si="1"/>
        <v>p</v>
      </c>
      <c r="N35" s="4">
        <v>3382</v>
      </c>
    </row>
    <row r="36" spans="8:14" x14ac:dyDescent="0.4">
      <c r="H36" s="28">
        <v>33</v>
      </c>
      <c r="I36" s="29" t="s">
        <v>269</v>
      </c>
      <c r="J36" s="29" t="s">
        <v>270</v>
      </c>
      <c r="K36" s="29" t="str">
        <f t="shared" si="0"/>
        <v>GAP5</v>
      </c>
      <c r="L36" s="30" t="str">
        <f t="shared" si="1"/>
        <v>p</v>
      </c>
      <c r="N36" s="4">
        <v>3401</v>
      </c>
    </row>
    <row r="37" spans="8:14" x14ac:dyDescent="0.4">
      <c r="H37" s="28">
        <v>34</v>
      </c>
      <c r="I37" s="29" t="s">
        <v>271</v>
      </c>
      <c r="J37" s="29" t="s">
        <v>272</v>
      </c>
      <c r="K37" s="29" t="str">
        <f t="shared" si="0"/>
        <v>GAV4</v>
      </c>
      <c r="L37" s="30" t="str">
        <f t="shared" si="1"/>
        <v>p</v>
      </c>
      <c r="N37" s="4">
        <v>3402</v>
      </c>
    </row>
    <row r="38" spans="8:14" x14ac:dyDescent="0.4">
      <c r="H38" s="28">
        <v>35</v>
      </c>
      <c r="I38" s="29" t="s">
        <v>273</v>
      </c>
      <c r="J38" s="29" t="s">
        <v>274</v>
      </c>
      <c r="K38" s="29" t="str">
        <f t="shared" si="0"/>
        <v>GAP4</v>
      </c>
      <c r="L38" s="30" t="str">
        <f t="shared" si="1"/>
        <v>p</v>
      </c>
      <c r="N38" s="4">
        <v>3405</v>
      </c>
    </row>
    <row r="39" spans="8:14" x14ac:dyDescent="0.4">
      <c r="H39" s="28">
        <v>36</v>
      </c>
      <c r="I39" s="29" t="s">
        <v>275</v>
      </c>
      <c r="J39" s="29" t="s">
        <v>276</v>
      </c>
      <c r="K39" s="29" t="str">
        <f t="shared" si="0"/>
        <v>GAV3</v>
      </c>
      <c r="L39" s="30" t="str">
        <f t="shared" si="1"/>
        <v>p</v>
      </c>
      <c r="N39" s="4">
        <v>3407</v>
      </c>
    </row>
    <row r="40" spans="8:14" x14ac:dyDescent="0.4">
      <c r="H40" s="28">
        <v>37</v>
      </c>
      <c r="I40" s="29" t="s">
        <v>277</v>
      </c>
      <c r="J40" s="29" t="s">
        <v>278</v>
      </c>
      <c r="K40" s="29" t="str">
        <f t="shared" si="0"/>
        <v>GAP3</v>
      </c>
      <c r="L40" s="30" t="str">
        <f t="shared" si="1"/>
        <v>p</v>
      </c>
      <c r="N40" s="4">
        <v>3436</v>
      </c>
    </row>
    <row r="41" spans="8:14" x14ac:dyDescent="0.4">
      <c r="H41" s="28">
        <v>38</v>
      </c>
      <c r="I41" s="29" t="s">
        <v>279</v>
      </c>
      <c r="J41" s="29" t="s">
        <v>280</v>
      </c>
      <c r="K41" s="29" t="str">
        <f t="shared" si="0"/>
        <v>GAV2</v>
      </c>
      <c r="L41" s="30" t="str">
        <f t="shared" si="1"/>
        <v>p</v>
      </c>
      <c r="N41" s="4">
        <v>3659</v>
      </c>
    </row>
    <row r="42" spans="8:14" x14ac:dyDescent="0.4">
      <c r="H42" s="28">
        <v>39</v>
      </c>
      <c r="I42" s="29" t="s">
        <v>281</v>
      </c>
      <c r="J42" s="29" t="s">
        <v>282</v>
      </c>
      <c r="K42" s="29" t="str">
        <f t="shared" si="0"/>
        <v>GAP2</v>
      </c>
      <c r="L42" s="30" t="str">
        <f t="shared" si="1"/>
        <v>p</v>
      </c>
      <c r="N42" s="4">
        <v>3861</v>
      </c>
    </row>
    <row r="43" spans="8:14" x14ac:dyDescent="0.4">
      <c r="H43" s="28">
        <v>40</v>
      </c>
      <c r="I43" s="29" t="s">
        <v>283</v>
      </c>
      <c r="J43" s="29" t="s">
        <v>284</v>
      </c>
      <c r="K43" s="29" t="str">
        <f t="shared" si="0"/>
        <v>GAV1</v>
      </c>
      <c r="L43" s="30" t="str">
        <f t="shared" si="1"/>
        <v>p</v>
      </c>
      <c r="N43" s="4">
        <v>3863</v>
      </c>
    </row>
    <row r="44" spans="8:14" x14ac:dyDescent="0.4">
      <c r="H44" s="28">
        <v>41</v>
      </c>
      <c r="I44" s="29" t="s">
        <v>285</v>
      </c>
      <c r="J44" s="29" t="s">
        <v>286</v>
      </c>
      <c r="K44" s="29" t="str">
        <f t="shared" si="0"/>
        <v>GAP1</v>
      </c>
      <c r="L44" s="30" t="str">
        <f t="shared" si="1"/>
        <v>p</v>
      </c>
      <c r="N44" s="4">
        <v>4004</v>
      </c>
    </row>
    <row r="45" spans="8:14" x14ac:dyDescent="0.4">
      <c r="H45" s="28">
        <v>42</v>
      </c>
      <c r="I45" s="29" t="s">
        <v>287</v>
      </c>
      <c r="J45" s="29" t="s">
        <v>288</v>
      </c>
      <c r="K45" s="29" t="str">
        <f t="shared" si="0"/>
        <v>GBV1</v>
      </c>
      <c r="L45" s="30" t="str">
        <f t="shared" si="1"/>
        <v>p</v>
      </c>
      <c r="N45" s="4">
        <v>4005</v>
      </c>
    </row>
    <row r="46" spans="8:14" x14ac:dyDescent="0.4">
      <c r="H46" s="28">
        <v>43</v>
      </c>
      <c r="I46" s="29" t="s">
        <v>289</v>
      </c>
      <c r="J46" s="29" t="s">
        <v>290</v>
      </c>
      <c r="K46" s="29" t="str">
        <f t="shared" si="0"/>
        <v>GBP1</v>
      </c>
      <c r="L46" s="30" t="str">
        <f t="shared" si="1"/>
        <v>p</v>
      </c>
      <c r="N46" s="4">
        <v>4021</v>
      </c>
    </row>
    <row r="47" spans="8:14" x14ac:dyDescent="0.4">
      <c r="H47" s="28">
        <v>44</v>
      </c>
      <c r="I47" s="29" t="s">
        <v>291</v>
      </c>
      <c r="J47" s="29" t="s">
        <v>292</v>
      </c>
      <c r="K47" s="29" t="str">
        <f t="shared" si="0"/>
        <v>GBV2</v>
      </c>
      <c r="L47" s="30" t="str">
        <f t="shared" si="1"/>
        <v>p</v>
      </c>
      <c r="N47" s="4">
        <v>4042</v>
      </c>
    </row>
    <row r="48" spans="8:14" x14ac:dyDescent="0.4">
      <c r="H48" s="28">
        <v>45</v>
      </c>
      <c r="I48" s="29" t="s">
        <v>293</v>
      </c>
      <c r="J48" s="29" t="s">
        <v>294</v>
      </c>
      <c r="K48" s="29" t="str">
        <f t="shared" si="0"/>
        <v>GBP2</v>
      </c>
      <c r="L48" s="30" t="str">
        <f t="shared" si="1"/>
        <v>p</v>
      </c>
      <c r="N48" s="4">
        <v>4043</v>
      </c>
    </row>
    <row r="49" spans="8:14" x14ac:dyDescent="0.4">
      <c r="H49" s="28">
        <v>46</v>
      </c>
      <c r="I49" s="29" t="s">
        <v>295</v>
      </c>
      <c r="J49" s="29" t="s">
        <v>296</v>
      </c>
      <c r="K49" s="29" t="str">
        <f t="shared" si="0"/>
        <v>GBV3</v>
      </c>
      <c r="L49" s="30" t="str">
        <f t="shared" si="1"/>
        <v>p</v>
      </c>
      <c r="N49" s="4">
        <v>4061</v>
      </c>
    </row>
    <row r="50" spans="8:14" x14ac:dyDescent="0.4">
      <c r="H50" s="28">
        <v>47</v>
      </c>
      <c r="I50" s="29" t="s">
        <v>297</v>
      </c>
      <c r="J50" s="29" t="s">
        <v>298</v>
      </c>
      <c r="K50" s="29" t="str">
        <f t="shared" si="0"/>
        <v>GBP3</v>
      </c>
      <c r="L50" s="30" t="str">
        <f t="shared" si="1"/>
        <v>p</v>
      </c>
      <c r="N50" s="4">
        <v>4063</v>
      </c>
    </row>
    <row r="51" spans="8:14" x14ac:dyDescent="0.4">
      <c r="H51" s="28">
        <v>48</v>
      </c>
      <c r="I51" s="29" t="s">
        <v>299</v>
      </c>
      <c r="J51" s="29" t="s">
        <v>300</v>
      </c>
      <c r="K51" s="29" t="str">
        <f t="shared" si="0"/>
        <v>GBV4</v>
      </c>
      <c r="L51" s="30" t="str">
        <f t="shared" si="1"/>
        <v>p</v>
      </c>
      <c r="N51" s="4">
        <v>4151</v>
      </c>
    </row>
    <row r="52" spans="8:14" x14ac:dyDescent="0.4">
      <c r="H52" s="28">
        <v>49</v>
      </c>
      <c r="I52" s="29" t="s">
        <v>301</v>
      </c>
      <c r="J52" s="29" t="s">
        <v>302</v>
      </c>
      <c r="K52" s="29" t="str">
        <f t="shared" si="0"/>
        <v>GBP4</v>
      </c>
      <c r="L52" s="30" t="str">
        <f t="shared" si="1"/>
        <v>p</v>
      </c>
      <c r="N52" s="4">
        <v>4183</v>
      </c>
    </row>
    <row r="53" spans="8:14" x14ac:dyDescent="0.4">
      <c r="H53" s="28">
        <v>50</v>
      </c>
      <c r="I53" s="29" t="s">
        <v>303</v>
      </c>
      <c r="J53" s="29" t="s">
        <v>304</v>
      </c>
      <c r="K53" s="29" t="str">
        <f t="shared" si="0"/>
        <v>GBV5</v>
      </c>
      <c r="L53" s="30" t="str">
        <f t="shared" si="1"/>
        <v>p</v>
      </c>
      <c r="N53" s="4">
        <v>4188</v>
      </c>
    </row>
    <row r="54" spans="8:14" x14ac:dyDescent="0.4">
      <c r="H54" s="28">
        <v>51</v>
      </c>
      <c r="I54" s="29" t="s">
        <v>305</v>
      </c>
      <c r="J54" s="29" t="s">
        <v>306</v>
      </c>
      <c r="K54" s="29" t="str">
        <f t="shared" si="0"/>
        <v>GBP5</v>
      </c>
      <c r="L54" s="30" t="str">
        <f t="shared" si="1"/>
        <v>p</v>
      </c>
      <c r="N54" s="4">
        <v>4208</v>
      </c>
    </row>
    <row r="55" spans="8:14" x14ac:dyDescent="0.4">
      <c r="H55" s="28">
        <v>52</v>
      </c>
      <c r="I55" s="29" t="s">
        <v>307</v>
      </c>
      <c r="J55" s="29" t="s">
        <v>308</v>
      </c>
      <c r="K55" s="29" t="str">
        <f t="shared" si="0"/>
        <v>GBV6</v>
      </c>
      <c r="L55" s="30" t="str">
        <f t="shared" si="1"/>
        <v>p</v>
      </c>
      <c r="N55" s="4">
        <v>4324</v>
      </c>
    </row>
    <row r="56" spans="8:14" x14ac:dyDescent="0.4">
      <c r="H56" s="28">
        <v>53</v>
      </c>
      <c r="I56" s="29" t="s">
        <v>309</v>
      </c>
      <c r="J56" s="29" t="s">
        <v>310</v>
      </c>
      <c r="K56" s="29" t="str">
        <f t="shared" si="0"/>
        <v>GBP6</v>
      </c>
      <c r="L56" s="30" t="str">
        <f t="shared" si="1"/>
        <v>p</v>
      </c>
      <c r="N56" s="4">
        <v>4452</v>
      </c>
    </row>
    <row r="57" spans="8:14" x14ac:dyDescent="0.4">
      <c r="H57" s="28">
        <v>54</v>
      </c>
      <c r="I57" s="29" t="s">
        <v>311</v>
      </c>
      <c r="J57" s="29" t="s">
        <v>312</v>
      </c>
      <c r="K57" s="29" t="str">
        <f t="shared" si="0"/>
        <v>GBV7</v>
      </c>
      <c r="L57" s="30" t="str">
        <f t="shared" si="1"/>
        <v>p</v>
      </c>
      <c r="N57" s="4">
        <v>4502</v>
      </c>
    </row>
    <row r="58" spans="8:14" x14ac:dyDescent="0.4">
      <c r="H58" s="28">
        <v>55</v>
      </c>
      <c r="I58" s="29" t="s">
        <v>313</v>
      </c>
      <c r="J58" s="29" t="s">
        <v>314</v>
      </c>
      <c r="K58" s="29" t="str">
        <f t="shared" si="0"/>
        <v>GBP7</v>
      </c>
      <c r="L58" s="30" t="str">
        <f t="shared" si="1"/>
        <v>p</v>
      </c>
      <c r="N58" s="4">
        <v>4503</v>
      </c>
    </row>
    <row r="59" spans="8:14" x14ac:dyDescent="0.4">
      <c r="H59" s="28">
        <v>56</v>
      </c>
      <c r="I59" s="29" t="s">
        <v>315</v>
      </c>
      <c r="J59" s="29" t="s">
        <v>316</v>
      </c>
      <c r="K59" s="29" t="str">
        <f t="shared" si="0"/>
        <v>GBV8</v>
      </c>
      <c r="L59" s="30" t="str">
        <f t="shared" si="1"/>
        <v>p</v>
      </c>
      <c r="N59" s="4">
        <v>4506</v>
      </c>
    </row>
    <row r="60" spans="8:14" x14ac:dyDescent="0.4">
      <c r="H60" s="28">
        <v>57</v>
      </c>
      <c r="I60" s="29" t="s">
        <v>317</v>
      </c>
      <c r="J60" s="29" t="s">
        <v>318</v>
      </c>
      <c r="K60" s="29" t="str">
        <f t="shared" si="0"/>
        <v>GBP8</v>
      </c>
      <c r="L60" s="30" t="str">
        <f t="shared" si="1"/>
        <v>p</v>
      </c>
      <c r="N60" s="4">
        <v>4507</v>
      </c>
    </row>
    <row r="61" spans="8:14" x14ac:dyDescent="0.4">
      <c r="H61" s="28">
        <v>58</v>
      </c>
      <c r="I61" s="29" t="s">
        <v>319</v>
      </c>
      <c r="J61" s="29" t="s">
        <v>320</v>
      </c>
      <c r="K61" s="29" t="str">
        <f t="shared" si="0"/>
        <v>GBV9</v>
      </c>
      <c r="L61" s="30" t="str">
        <f t="shared" si="1"/>
        <v>p</v>
      </c>
      <c r="N61" s="4">
        <v>4519</v>
      </c>
    </row>
    <row r="62" spans="8:14" x14ac:dyDescent="0.4">
      <c r="H62" s="28">
        <v>59</v>
      </c>
      <c r="I62" s="29" t="s">
        <v>321</v>
      </c>
      <c r="J62" s="29" t="s">
        <v>322</v>
      </c>
      <c r="K62" s="29" t="str">
        <f t="shared" si="0"/>
        <v>GBP9</v>
      </c>
      <c r="L62" s="30" t="str">
        <f t="shared" si="1"/>
        <v>p</v>
      </c>
      <c r="N62" s="4">
        <v>4523</v>
      </c>
    </row>
    <row r="63" spans="8:14" x14ac:dyDescent="0.4">
      <c r="H63" s="28">
        <v>60</v>
      </c>
      <c r="I63" s="29" t="s">
        <v>323</v>
      </c>
      <c r="J63" s="29" t="s">
        <v>324</v>
      </c>
      <c r="K63" s="29" t="str">
        <f t="shared" si="0"/>
        <v>GBV10</v>
      </c>
      <c r="L63" s="30" t="str">
        <f t="shared" si="1"/>
        <v>p</v>
      </c>
      <c r="N63" s="4">
        <v>4543</v>
      </c>
    </row>
    <row r="64" spans="8:14" x14ac:dyDescent="0.4">
      <c r="H64" s="28">
        <v>61</v>
      </c>
      <c r="I64" s="29" t="s">
        <v>325</v>
      </c>
      <c r="J64" s="29" t="s">
        <v>326</v>
      </c>
      <c r="K64" s="29" t="str">
        <f t="shared" si="0"/>
        <v>GBP10</v>
      </c>
      <c r="L64" s="30" t="str">
        <f t="shared" si="1"/>
        <v>p</v>
      </c>
      <c r="N64" s="4">
        <v>4568</v>
      </c>
    </row>
    <row r="65" spans="8:14" x14ac:dyDescent="0.4">
      <c r="H65" s="28">
        <v>62</v>
      </c>
      <c r="I65" s="29" t="s">
        <v>203</v>
      </c>
      <c r="J65" s="29" t="s">
        <v>204</v>
      </c>
      <c r="K65" s="29" t="str">
        <f t="shared" si="0"/>
        <v>LISS</v>
      </c>
      <c r="L65" s="30" t="str">
        <f t="shared" si="1"/>
        <v>x</v>
      </c>
      <c r="N65" s="4">
        <v>4578</v>
      </c>
    </row>
    <row r="66" spans="8:14" x14ac:dyDescent="0.4">
      <c r="H66" s="28">
        <v>63</v>
      </c>
      <c r="I66" s="29" t="s">
        <v>331</v>
      </c>
      <c r="J66" s="29" t="s">
        <v>332</v>
      </c>
      <c r="K66" s="29" t="str">
        <f t="shared" si="0"/>
        <v>PRP</v>
      </c>
      <c r="L66" s="30" t="str">
        <f t="shared" si="1"/>
        <v>p</v>
      </c>
      <c r="N66" s="4">
        <v>4631</v>
      </c>
    </row>
    <row r="67" spans="8:14" x14ac:dyDescent="0.4">
      <c r="H67" s="28">
        <v>64</v>
      </c>
      <c r="I67" s="29" t="s">
        <v>198</v>
      </c>
      <c r="J67" s="29" t="s">
        <v>226</v>
      </c>
      <c r="K67" s="29" t="str">
        <f t="shared" si="0"/>
        <v>QAP</v>
      </c>
      <c r="L67" s="30" t="str">
        <f t="shared" si="1"/>
        <v>p</v>
      </c>
      <c r="N67" s="4">
        <v>4689</v>
      </c>
    </row>
    <row r="68" spans="8:14" x14ac:dyDescent="0.4">
      <c r="H68" s="28">
        <v>65</v>
      </c>
      <c r="I68" s="29" t="s">
        <v>197</v>
      </c>
      <c r="J68" s="29" t="s">
        <v>225</v>
      </c>
      <c r="K68" s="29" t="str">
        <f t="shared" si="0"/>
        <v>QAS</v>
      </c>
      <c r="L68" s="30" t="str">
        <f t="shared" si="1"/>
        <v>p</v>
      </c>
      <c r="N68" s="4">
        <v>4704</v>
      </c>
    </row>
    <row r="69" spans="8:14" x14ac:dyDescent="0.4">
      <c r="H69" s="28">
        <v>66</v>
      </c>
      <c r="I69" s="29" t="s">
        <v>201</v>
      </c>
      <c r="J69" s="29" t="s">
        <v>229</v>
      </c>
      <c r="K69" s="29" t="str">
        <f t="shared" ref="K69:K73" si="2">MID(I69,2,LEN(I69)-1)</f>
        <v>QBP</v>
      </c>
      <c r="L69" s="30" t="str">
        <f t="shared" ref="L69:L73" si="3">LEFT(I69,1)</f>
        <v>p</v>
      </c>
      <c r="N69" s="4">
        <v>4751</v>
      </c>
    </row>
    <row r="70" spans="8:14" x14ac:dyDescent="0.4">
      <c r="H70" s="28">
        <v>67</v>
      </c>
      <c r="I70" s="29" t="s">
        <v>200</v>
      </c>
      <c r="J70" s="29" t="s">
        <v>228</v>
      </c>
      <c r="K70" s="29" t="str">
        <f t="shared" si="2"/>
        <v>QBS</v>
      </c>
      <c r="L70" s="30" t="str">
        <f t="shared" si="3"/>
        <v>p</v>
      </c>
      <c r="N70" s="4">
        <v>4755</v>
      </c>
    </row>
    <row r="71" spans="8:14" x14ac:dyDescent="0.4">
      <c r="H71" s="28">
        <v>68</v>
      </c>
      <c r="I71" s="29" t="s">
        <v>245</v>
      </c>
      <c r="J71" s="29" t="s">
        <v>246</v>
      </c>
      <c r="K71" s="29" t="str">
        <f t="shared" si="2"/>
        <v>QOV</v>
      </c>
      <c r="L71" s="30" t="str">
        <f t="shared" si="3"/>
        <v>p</v>
      </c>
      <c r="N71" s="4">
        <v>4901</v>
      </c>
    </row>
    <row r="72" spans="8:14" x14ac:dyDescent="0.4">
      <c r="H72" s="28">
        <v>69</v>
      </c>
      <c r="I72" s="29" t="s">
        <v>327</v>
      </c>
      <c r="J72" s="29" t="s">
        <v>328</v>
      </c>
      <c r="K72" s="29" t="str">
        <f t="shared" si="2"/>
        <v>QUV</v>
      </c>
      <c r="L72" s="30" t="str">
        <f t="shared" si="3"/>
        <v>p</v>
      </c>
      <c r="N72" s="4">
        <v>4902</v>
      </c>
    </row>
    <row r="73" spans="8:14" ht="19.5" thickBot="1" x14ac:dyDescent="0.45">
      <c r="H73" s="31">
        <v>70</v>
      </c>
      <c r="I73" s="32" t="s">
        <v>329</v>
      </c>
      <c r="J73" s="32" t="s">
        <v>330</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23"/>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36.75" customWidth="1"/>
    <col min="26" max="26" width="31.75" customWidth="1"/>
  </cols>
  <sheetData>
    <row r="1" spans="1:26" s="11" customFormat="1" ht="21" customHeight="1" x14ac:dyDescent="0.4">
      <c r="A1" s="11" t="s">
        <v>77</v>
      </c>
      <c r="B1" s="11" t="s">
        <v>368</v>
      </c>
      <c r="F1" s="11" t="s">
        <v>371</v>
      </c>
      <c r="J1" s="11" t="s">
        <v>372</v>
      </c>
      <c r="N1" s="11" t="s">
        <v>374</v>
      </c>
      <c r="R1" s="11" t="s">
        <v>375</v>
      </c>
      <c r="V1" s="11" t="s">
        <v>389</v>
      </c>
      <c r="Z1" s="11" t="s">
        <v>378</v>
      </c>
    </row>
    <row r="2" spans="1:26" s="11" customFormat="1" ht="21" customHeight="1" x14ac:dyDescent="0.4">
      <c r="A2" s="11" t="s">
        <v>78</v>
      </c>
      <c r="B2" s="15" t="s">
        <v>367</v>
      </c>
      <c r="F2" s="15" t="s">
        <v>369</v>
      </c>
      <c r="J2" s="15" t="s">
        <v>370</v>
      </c>
      <c r="N2" s="15" t="s">
        <v>373</v>
      </c>
      <c r="R2" s="15" t="s">
        <v>376</v>
      </c>
      <c r="V2" s="15" t="s">
        <v>377</v>
      </c>
      <c r="Z2" s="15" t="s">
        <v>379</v>
      </c>
    </row>
    <row r="3" spans="1:26" ht="63" customHeight="1" x14ac:dyDescent="0.4"/>
    <row r="16" spans="1:26" x14ac:dyDescent="0.4">
      <c r="B16" t="s">
        <v>405</v>
      </c>
      <c r="F16" t="s">
        <v>405</v>
      </c>
      <c r="J16" t="s">
        <v>405</v>
      </c>
      <c r="N16" t="s">
        <v>405</v>
      </c>
      <c r="R16" t="s">
        <v>405</v>
      </c>
      <c r="V16" t="s">
        <v>405</v>
      </c>
      <c r="Z16" t="s">
        <v>405</v>
      </c>
    </row>
    <row r="17" spans="1:26" x14ac:dyDescent="0.4">
      <c r="A17" t="s">
        <v>520</v>
      </c>
      <c r="B17" s="8">
        <v>36</v>
      </c>
      <c r="E17" t="s">
        <v>520</v>
      </c>
      <c r="F17" s="8">
        <v>39</v>
      </c>
      <c r="I17" t="s">
        <v>520</v>
      </c>
      <c r="J17" s="8">
        <v>40</v>
      </c>
      <c r="M17" t="s">
        <v>537</v>
      </c>
      <c r="N17" s="8">
        <v>41</v>
      </c>
      <c r="Q17" t="s">
        <v>541</v>
      </c>
      <c r="R17" s="8">
        <v>42</v>
      </c>
      <c r="U17" t="s">
        <v>541</v>
      </c>
      <c r="V17" s="8">
        <v>43</v>
      </c>
      <c r="Y17" t="s">
        <v>541</v>
      </c>
      <c r="Z17" s="8">
        <v>44</v>
      </c>
    </row>
    <row r="18" spans="1:26" x14ac:dyDescent="0.4">
      <c r="A18" t="s">
        <v>525</v>
      </c>
      <c r="B18" s="13" t="s">
        <v>524</v>
      </c>
      <c r="E18" t="s">
        <v>521</v>
      </c>
      <c r="F18" s="13" t="s">
        <v>530</v>
      </c>
      <c r="I18" t="s">
        <v>521</v>
      </c>
      <c r="J18" s="13" t="s">
        <v>535</v>
      </c>
      <c r="M18" t="s">
        <v>521</v>
      </c>
      <c r="N18" s="13" t="s">
        <v>536</v>
      </c>
      <c r="Q18" t="s">
        <v>542</v>
      </c>
      <c r="R18" s="13" t="s">
        <v>540</v>
      </c>
      <c r="U18" t="s">
        <v>542</v>
      </c>
      <c r="V18" s="13" t="s">
        <v>544</v>
      </c>
      <c r="Y18" t="s">
        <v>521</v>
      </c>
      <c r="Z18" s="13" t="s">
        <v>546</v>
      </c>
    </row>
    <row r="19" spans="1:26" x14ac:dyDescent="0.4">
      <c r="A19" t="s">
        <v>526</v>
      </c>
      <c r="B19" s="14" t="s">
        <v>366</v>
      </c>
      <c r="E19" t="s">
        <v>531</v>
      </c>
      <c r="F19" s="14" t="s">
        <v>366</v>
      </c>
      <c r="I19" t="s">
        <v>531</v>
      </c>
      <c r="J19" s="14" t="s">
        <v>366</v>
      </c>
      <c r="M19" t="s">
        <v>538</v>
      </c>
      <c r="N19" s="14" t="s">
        <v>366</v>
      </c>
      <c r="Q19" t="s">
        <v>543</v>
      </c>
      <c r="R19" s="14" t="s">
        <v>366</v>
      </c>
      <c r="U19" t="s">
        <v>543</v>
      </c>
      <c r="V19" s="14" t="s">
        <v>366</v>
      </c>
      <c r="Y19" t="s">
        <v>543</v>
      </c>
      <c r="Z19" s="14" t="s">
        <v>366</v>
      </c>
    </row>
    <row r="20" spans="1:26" x14ac:dyDescent="0.4">
      <c r="A20" t="s">
        <v>522</v>
      </c>
      <c r="B20" s="14">
        <v>0</v>
      </c>
      <c r="E20" t="s">
        <v>522</v>
      </c>
      <c r="F20" s="14">
        <v>0</v>
      </c>
      <c r="I20" t="s">
        <v>522</v>
      </c>
      <c r="J20" s="14">
        <v>0</v>
      </c>
      <c r="M20" t="s">
        <v>539</v>
      </c>
      <c r="N20" s="14">
        <v>0</v>
      </c>
      <c r="Q20" t="s">
        <v>522</v>
      </c>
      <c r="R20" s="14">
        <v>0</v>
      </c>
      <c r="U20" t="s">
        <v>545</v>
      </c>
      <c r="V20" s="14">
        <v>0</v>
      </c>
      <c r="Y20" t="s">
        <v>545</v>
      </c>
      <c r="Z20" s="14">
        <v>0</v>
      </c>
    </row>
    <row r="21" spans="1:26" x14ac:dyDescent="0.4">
      <c r="A21" t="s">
        <v>527</v>
      </c>
      <c r="B21" s="14"/>
      <c r="E21" t="s">
        <v>532</v>
      </c>
      <c r="F21" s="14"/>
      <c r="I21" t="s">
        <v>523</v>
      </c>
      <c r="J21" s="14"/>
      <c r="M21" t="s">
        <v>338</v>
      </c>
      <c r="N21" s="14"/>
      <c r="Q21" t="s">
        <v>338</v>
      </c>
      <c r="R21" s="14"/>
      <c r="U21" t="s">
        <v>338</v>
      </c>
      <c r="V21" s="14"/>
      <c r="Y21" t="s">
        <v>338</v>
      </c>
      <c r="Z21" s="14"/>
    </row>
    <row r="22" spans="1:26" x14ac:dyDescent="0.4">
      <c r="A22" t="s">
        <v>528</v>
      </c>
      <c r="B22" s="14"/>
      <c r="E22" t="s">
        <v>533</v>
      </c>
      <c r="F22" s="14"/>
      <c r="I22" t="s">
        <v>533</v>
      </c>
      <c r="J22" s="14"/>
      <c r="M22" t="s">
        <v>43</v>
      </c>
      <c r="N22" s="14"/>
      <c r="Q22" t="s">
        <v>43</v>
      </c>
      <c r="R22" s="14"/>
      <c r="U22" t="s">
        <v>43</v>
      </c>
      <c r="V22" s="14"/>
      <c r="Y22" t="s">
        <v>43</v>
      </c>
      <c r="Z22" s="14"/>
    </row>
    <row r="23" spans="1:26" x14ac:dyDescent="0.4">
      <c r="A23" t="s">
        <v>529</v>
      </c>
      <c r="B23" s="14"/>
      <c r="E23" t="s">
        <v>534</v>
      </c>
      <c r="F23" s="14"/>
      <c r="I23" t="s">
        <v>534</v>
      </c>
      <c r="J23" s="14"/>
      <c r="M23" t="s">
        <v>44</v>
      </c>
      <c r="N23" s="14"/>
      <c r="Q23" t="s">
        <v>44</v>
      </c>
      <c r="R23" s="14"/>
      <c r="U23" t="s">
        <v>44</v>
      </c>
      <c r="V23" s="14"/>
      <c r="Y23" t="s">
        <v>44</v>
      </c>
      <c r="Z23"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kobetu_CLM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kobetu_CLMIssueSizyouMstKabu">
                <anchor moveWithCells="1" sizeWithCells="1">
                  <from>
                    <xdr:col>5</xdr:col>
                    <xdr:colOff>47625</xdr:colOff>
                    <xdr:row>2</xdr:row>
                    <xdr:rowOff>95250</xdr:rowOff>
                  </from>
                  <to>
                    <xdr:col>5</xdr:col>
                    <xdr:colOff>2028825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kobetu_CLM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kobetu_CLMIssueSizyouMstKabu">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7" r:id="rId7" name="Button 7">
              <controlPr defaultSize="0" print="0" autoFill="0" autoPict="0" macro="[0]!get_master_kobetu_CLM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8" r:id="rId8" name="Button 8">
              <controlPr defaultSize="0" print="0" autoFill="0" autoPict="0" macro="[0]!get_master_kobetu_CLMIssueSizyouMstKabu">
                <anchor moveWithCells="1" sizeWithCells="1">
                  <from>
                    <xdr:col>17</xdr:col>
                    <xdr:colOff>47625</xdr:colOff>
                    <xdr:row>2</xdr:row>
                    <xdr:rowOff>95250</xdr:rowOff>
                  </from>
                  <to>
                    <xdr:col>17</xdr:col>
                    <xdr:colOff>2028825</xdr:colOff>
                    <xdr:row>2</xdr:row>
                    <xdr:rowOff>733425</xdr:rowOff>
                  </to>
                </anchor>
              </controlPr>
            </control>
          </mc:Choice>
        </mc:AlternateContent>
        <mc:AlternateContent xmlns:mc="http://schemas.openxmlformats.org/markup-compatibility/2006">
          <mc:Choice Requires="x14">
            <control shapeId="15369" r:id="rId9" name="Button 9">
              <controlPr defaultSize="0" print="0" autoFill="0" autoPict="0" macro="[0]!get_master_kobetu_CLMIssueMstOther">
                <anchor moveWithCells="1" sizeWithCells="1">
                  <from>
                    <xdr:col>17</xdr:col>
                    <xdr:colOff>47625</xdr:colOff>
                    <xdr:row>2</xdr:row>
                    <xdr:rowOff>95250</xdr:rowOff>
                  </from>
                  <to>
                    <xdr:col>17</xdr:col>
                    <xdr:colOff>2343150</xdr:colOff>
                    <xdr:row>2</xdr:row>
                    <xdr:rowOff>733425</xdr:rowOff>
                  </to>
                </anchor>
              </controlPr>
            </control>
          </mc:Choice>
        </mc:AlternateContent>
        <mc:AlternateContent xmlns:mc="http://schemas.openxmlformats.org/markup-compatibility/2006">
          <mc:Choice Requires="x14">
            <control shapeId="15370" r:id="rId10" name="Button 10">
              <controlPr defaultSize="0" print="0" autoFill="0" autoPict="0" macro="[0]!get_master_kobetu_CLMIssueMstSak">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1" r:id="rId11" name="Button 11">
              <controlPr defaultSize="0" print="0" autoFill="0" autoPict="0" macro="[0]!get_master_kobetu_CLMIssueSizyouMstKabu">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2" r:id="rId12" name="Button 12">
              <controlPr defaultSize="0" print="0" autoFill="0" autoPict="0" macro="[0]!get_master_kobetu_CLMOrderErrReason">
                <anchor moveWithCells="1" sizeWithCells="1">
                  <from>
                    <xdr:col>21</xdr:col>
                    <xdr:colOff>47625</xdr:colOff>
                    <xdr:row>2</xdr:row>
                    <xdr:rowOff>95250</xdr:rowOff>
                  </from>
                  <to>
                    <xdr:col>21</xdr:col>
                    <xdr:colOff>2695575</xdr:colOff>
                    <xdr:row>2</xdr:row>
                    <xdr:rowOff>733425</xdr:rowOff>
                  </to>
                </anchor>
              </controlPr>
            </control>
          </mc:Choice>
        </mc:AlternateContent>
        <mc:AlternateContent xmlns:mc="http://schemas.openxmlformats.org/markup-compatibility/2006">
          <mc:Choice Requires="x14">
            <control shapeId="15373" r:id="rId13" name="Button 13">
              <controlPr defaultSize="0" print="0" autoFill="0" autoPict="0" macro="[0]!get_master_kobetu_CLMIssueSizyouMstKab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4" r:id="rId14" name="Button 14">
              <controlPr defaultSize="0" print="0" autoFill="0" autoPict="0" macro="[0]!get_master_kobetu_CLMDateZyouhou">
                <anchor moveWithCells="1" sizeWithCells="1">
                  <from>
                    <xdr:col>25</xdr:col>
                    <xdr:colOff>47625</xdr:colOff>
                    <xdr:row>2</xdr:row>
                    <xdr:rowOff>95250</xdr:rowOff>
                  </from>
                  <to>
                    <xdr:col>25</xdr:col>
                    <xdr:colOff>2343150</xdr:colOff>
                    <xdr:row>2</xdr:row>
                    <xdr:rowOff>733425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2:G1206"/>
  <sheetViews>
    <sheetView workbookViewId="0"/>
  </sheetViews>
  <sheetFormatPr defaultColWidth="11.25" defaultRowHeight="18.75" x14ac:dyDescent="0.4"/>
  <cols>
    <col min="1" max="1" width="11.25" style="39"/>
    <col min="2" max="2" width="29.25" style="39" customWidth="1"/>
    <col min="3" max="3" width="33.75" style="39" customWidth="1"/>
    <col min="4" max="4" width="34.5" style="39" customWidth="1"/>
    <col min="5" max="5" width="24.5" style="39" bestFit="1" customWidth="1"/>
    <col min="6" max="6" width="34.125" style="39" customWidth="1"/>
    <col min="7" max="7" width="23.125" style="39" bestFit="1" customWidth="1"/>
    <col min="8" max="8" width="24.625" style="39" customWidth="1"/>
    <col min="9" max="9" width="23.125" style="39" bestFit="1" customWidth="1"/>
    <col min="10" max="16384" width="11.25" style="39"/>
  </cols>
  <sheetData>
    <row r="2" spans="3:7" s="40" customFormat="1" ht="175.5" customHeight="1" x14ac:dyDescent="0.4"/>
    <row r="9" spans="3:7" x14ac:dyDescent="0.4">
      <c r="D9" s="50"/>
    </row>
    <row r="10" spans="3:7" x14ac:dyDescent="0.4">
      <c r="D10" s="50"/>
    </row>
    <row r="11" spans="3:7" x14ac:dyDescent="0.4">
      <c r="D11" s="50"/>
      <c r="E11" s="41"/>
    </row>
    <row r="12" spans="3:7" x14ac:dyDescent="0.4">
      <c r="C12" s="42"/>
      <c r="D12" s="50"/>
      <c r="E12" s="42"/>
      <c r="G12" s="42"/>
    </row>
    <row r="13" spans="3:7" x14ac:dyDescent="0.4">
      <c r="D13" s="50"/>
    </row>
    <row r="14" spans="3:7" x14ac:dyDescent="0.4">
      <c r="C14" s="42"/>
      <c r="D14" s="50"/>
      <c r="E14" s="42"/>
      <c r="G14" s="42"/>
    </row>
    <row r="15" spans="3:7" x14ac:dyDescent="0.4">
      <c r="D15" s="50"/>
    </row>
    <row r="16" spans="3:7" x14ac:dyDescent="0.4">
      <c r="C16" s="42"/>
      <c r="D16" s="50"/>
      <c r="E16" s="42"/>
      <c r="G16" s="42"/>
    </row>
    <row r="17" spans="3:7" x14ac:dyDescent="0.4">
      <c r="D17" s="50"/>
    </row>
    <row r="18" spans="3:7" x14ac:dyDescent="0.4">
      <c r="D18" s="50"/>
    </row>
    <row r="19" spans="3:7" x14ac:dyDescent="0.4">
      <c r="D19" s="50"/>
    </row>
    <row r="20" spans="3:7" x14ac:dyDescent="0.4">
      <c r="D20" s="50"/>
    </row>
    <row r="21" spans="3:7" x14ac:dyDescent="0.4">
      <c r="D21" s="50"/>
    </row>
    <row r="22" spans="3:7" x14ac:dyDescent="0.4">
      <c r="C22" s="42"/>
      <c r="D22" s="50"/>
      <c r="E22" s="42"/>
      <c r="G22" s="42"/>
    </row>
    <row r="23" spans="3:7" x14ac:dyDescent="0.4">
      <c r="D23" s="50"/>
    </row>
    <row r="24" spans="3:7" x14ac:dyDescent="0.4">
      <c r="C24" s="42"/>
      <c r="D24" s="50"/>
      <c r="E24" s="42"/>
      <c r="G24" s="42"/>
    </row>
    <row r="25" spans="3:7" x14ac:dyDescent="0.4">
      <c r="D25" s="50"/>
    </row>
    <row r="26" spans="3:7" x14ac:dyDescent="0.4">
      <c r="C26" s="42"/>
      <c r="D26" s="50"/>
      <c r="E26" s="42"/>
      <c r="G26" s="42"/>
    </row>
    <row r="27" spans="3:7" x14ac:dyDescent="0.4">
      <c r="D27" s="50"/>
    </row>
    <row r="28" spans="3:7" x14ac:dyDescent="0.4">
      <c r="D28" s="50"/>
    </row>
    <row r="29" spans="3:7" x14ac:dyDescent="0.4">
      <c r="D29" s="50"/>
    </row>
    <row r="30" spans="3:7" x14ac:dyDescent="0.4">
      <c r="D30" s="50"/>
    </row>
    <row r="31" spans="3:7" x14ac:dyDescent="0.4">
      <c r="D31" s="50"/>
    </row>
    <row r="32" spans="3:7" x14ac:dyDescent="0.4">
      <c r="C32" s="42"/>
      <c r="D32" s="50"/>
      <c r="E32" s="42"/>
      <c r="G32" s="42"/>
    </row>
    <row r="33" spans="3:7" x14ac:dyDescent="0.4">
      <c r="D33" s="50"/>
    </row>
    <row r="34" spans="3:7" x14ac:dyDescent="0.4">
      <c r="C34" s="42"/>
      <c r="D34" s="50"/>
      <c r="E34" s="42"/>
      <c r="G34" s="42"/>
    </row>
    <row r="35" spans="3:7" x14ac:dyDescent="0.4">
      <c r="D35" s="50"/>
    </row>
    <row r="36" spans="3:7" x14ac:dyDescent="0.4">
      <c r="C36" s="42"/>
      <c r="D36" s="50"/>
      <c r="E36" s="42"/>
      <c r="G36" s="42"/>
    </row>
    <row r="37" spans="3:7" x14ac:dyDescent="0.4">
      <c r="D37" s="50"/>
    </row>
    <row r="42" spans="3:7" x14ac:dyDescent="0.4">
      <c r="C42" s="42"/>
      <c r="E42" s="42"/>
      <c r="G42" s="42"/>
    </row>
    <row r="44" spans="3:7" x14ac:dyDescent="0.4">
      <c r="C44" s="42"/>
      <c r="E44" s="42"/>
      <c r="G44" s="42"/>
    </row>
    <row r="46" spans="3:7" x14ac:dyDescent="0.4">
      <c r="C46" s="42"/>
      <c r="E46" s="42"/>
      <c r="G46" s="42"/>
    </row>
    <row r="52" spans="3:3" x14ac:dyDescent="0.4">
      <c r="C52" s="42"/>
    </row>
    <row r="54" spans="3:3" x14ac:dyDescent="0.4">
      <c r="C54" s="42"/>
    </row>
    <row r="56" spans="3:3" x14ac:dyDescent="0.4">
      <c r="C56" s="42"/>
    </row>
    <row r="62" spans="3:3" x14ac:dyDescent="0.4">
      <c r="C62" s="42"/>
    </row>
    <row r="64" spans="3:3" x14ac:dyDescent="0.4">
      <c r="C64" s="42"/>
    </row>
    <row r="66" spans="3:3" x14ac:dyDescent="0.4">
      <c r="C66" s="42"/>
    </row>
    <row r="72" spans="3:3" x14ac:dyDescent="0.4">
      <c r="C72" s="42"/>
    </row>
    <row r="74" spans="3:3" x14ac:dyDescent="0.4">
      <c r="C74" s="42"/>
    </row>
    <row r="76" spans="3:3" x14ac:dyDescent="0.4">
      <c r="C76" s="42"/>
    </row>
    <row r="82" spans="3:3" x14ac:dyDescent="0.4">
      <c r="C82" s="42"/>
    </row>
    <row r="84" spans="3:3" x14ac:dyDescent="0.4">
      <c r="C84" s="42"/>
    </row>
    <row r="86" spans="3:3" x14ac:dyDescent="0.4">
      <c r="C86" s="42"/>
    </row>
    <row r="92" spans="3:3" x14ac:dyDescent="0.4">
      <c r="C92" s="42"/>
    </row>
    <row r="94" spans="3:3" x14ac:dyDescent="0.4">
      <c r="C94" s="42"/>
    </row>
    <row r="96" spans="3:3" x14ac:dyDescent="0.4">
      <c r="C96" s="42"/>
    </row>
    <row r="102" spans="3:3" x14ac:dyDescent="0.4">
      <c r="C102" s="42"/>
    </row>
    <row r="104" spans="3:3" x14ac:dyDescent="0.4">
      <c r="C104" s="42"/>
    </row>
    <row r="106" spans="3:3" x14ac:dyDescent="0.4">
      <c r="C106" s="42"/>
    </row>
    <row r="112" spans="3:3" x14ac:dyDescent="0.4">
      <c r="C112" s="42"/>
    </row>
    <row r="114" spans="3:3" x14ac:dyDescent="0.4">
      <c r="C114" s="42"/>
    </row>
    <row r="116" spans="3:3" x14ac:dyDescent="0.4">
      <c r="C116" s="42"/>
    </row>
    <row r="122" spans="3:3" x14ac:dyDescent="0.4">
      <c r="C122" s="42"/>
    </row>
    <row r="124" spans="3:3" x14ac:dyDescent="0.4">
      <c r="C124" s="42"/>
    </row>
    <row r="126" spans="3:3" x14ac:dyDescent="0.4">
      <c r="C126" s="42"/>
    </row>
    <row r="132" spans="3:3" x14ac:dyDescent="0.4">
      <c r="C132" s="42"/>
    </row>
    <row r="134" spans="3:3" x14ac:dyDescent="0.4">
      <c r="C134" s="42"/>
    </row>
    <row r="136" spans="3:3" x14ac:dyDescent="0.4">
      <c r="C136" s="42"/>
    </row>
    <row r="142" spans="3:3" x14ac:dyDescent="0.4">
      <c r="C142" s="42"/>
    </row>
    <row r="144" spans="3:3" x14ac:dyDescent="0.4">
      <c r="C144" s="42"/>
    </row>
    <row r="146" spans="3:3" x14ac:dyDescent="0.4">
      <c r="C146" s="42"/>
    </row>
    <row r="152" spans="3:3" x14ac:dyDescent="0.4">
      <c r="C152" s="42"/>
    </row>
    <row r="154" spans="3:3" x14ac:dyDescent="0.4">
      <c r="C154" s="42"/>
    </row>
    <row r="156" spans="3:3" x14ac:dyDescent="0.4">
      <c r="C156" s="42"/>
    </row>
    <row r="162" spans="3:3" x14ac:dyDescent="0.4">
      <c r="C162" s="42"/>
    </row>
    <row r="164" spans="3:3" x14ac:dyDescent="0.4">
      <c r="C164" s="42"/>
    </row>
    <row r="166" spans="3:3" x14ac:dyDescent="0.4">
      <c r="C166" s="42"/>
    </row>
    <row r="172" spans="3:3" x14ac:dyDescent="0.4">
      <c r="C172" s="42"/>
    </row>
    <row r="174" spans="3:3" x14ac:dyDescent="0.4">
      <c r="C174" s="42"/>
    </row>
    <row r="176" spans="3:3" x14ac:dyDescent="0.4">
      <c r="C176" s="42"/>
    </row>
    <row r="182" spans="3:3" x14ac:dyDescent="0.4">
      <c r="C182" s="42"/>
    </row>
    <row r="184" spans="3:3" x14ac:dyDescent="0.4">
      <c r="C184" s="42"/>
    </row>
    <row r="186" spans="3:3" x14ac:dyDescent="0.4">
      <c r="C186" s="42"/>
    </row>
    <row r="192" spans="3:3" x14ac:dyDescent="0.4">
      <c r="C192" s="42"/>
    </row>
    <row r="194" spans="3:3" x14ac:dyDescent="0.4">
      <c r="C194" s="42"/>
    </row>
    <row r="196" spans="3:3" x14ac:dyDescent="0.4">
      <c r="C196" s="42"/>
    </row>
    <row r="202" spans="3:3" x14ac:dyDescent="0.4">
      <c r="C202" s="42"/>
    </row>
    <row r="204" spans="3:3" x14ac:dyDescent="0.4">
      <c r="C204" s="42"/>
    </row>
    <row r="206" spans="3:3" x14ac:dyDescent="0.4">
      <c r="C206" s="42"/>
    </row>
    <row r="212" spans="3:3" x14ac:dyDescent="0.4">
      <c r="C212" s="42"/>
    </row>
    <row r="214" spans="3:3" x14ac:dyDescent="0.4">
      <c r="C214" s="42"/>
    </row>
    <row r="216" spans="3:3" x14ac:dyDescent="0.4">
      <c r="C216" s="42"/>
    </row>
    <row r="222" spans="3:3" x14ac:dyDescent="0.4">
      <c r="C222" s="42"/>
    </row>
    <row r="224" spans="3:3" x14ac:dyDescent="0.4">
      <c r="C224" s="42"/>
    </row>
    <row r="226" spans="3:3" x14ac:dyDescent="0.4">
      <c r="C226" s="42"/>
    </row>
    <row r="232" spans="3:3" x14ac:dyDescent="0.4">
      <c r="C232" s="42"/>
    </row>
    <row r="234" spans="3:3" x14ac:dyDescent="0.4">
      <c r="C234" s="42"/>
    </row>
    <row r="236" spans="3:3" x14ac:dyDescent="0.4">
      <c r="C236" s="42"/>
    </row>
    <row r="242" spans="3:3" x14ac:dyDescent="0.4">
      <c r="C242" s="42"/>
    </row>
    <row r="244" spans="3:3" x14ac:dyDescent="0.4">
      <c r="C244" s="42"/>
    </row>
    <row r="246" spans="3:3" x14ac:dyDescent="0.4">
      <c r="C246" s="42"/>
    </row>
    <row r="252" spans="3:3" x14ac:dyDescent="0.4">
      <c r="C252" s="42"/>
    </row>
    <row r="254" spans="3:3" x14ac:dyDescent="0.4">
      <c r="C254" s="42"/>
    </row>
    <row r="256" spans="3:3" x14ac:dyDescent="0.4">
      <c r="C256" s="42"/>
    </row>
    <row r="262" spans="3:3" x14ac:dyDescent="0.4">
      <c r="C262" s="42"/>
    </row>
    <row r="264" spans="3:3" x14ac:dyDescent="0.4">
      <c r="C264" s="42"/>
    </row>
    <row r="266" spans="3:3" x14ac:dyDescent="0.4">
      <c r="C266" s="42"/>
    </row>
    <row r="272" spans="3:3" x14ac:dyDescent="0.4">
      <c r="C272" s="42"/>
    </row>
    <row r="274" spans="3:3" x14ac:dyDescent="0.4">
      <c r="C274" s="42"/>
    </row>
    <row r="276" spans="3:3" x14ac:dyDescent="0.4">
      <c r="C276" s="42"/>
    </row>
    <row r="282" spans="3:3" x14ac:dyDescent="0.4">
      <c r="C282" s="42"/>
    </row>
    <row r="284" spans="3:3" x14ac:dyDescent="0.4">
      <c r="C284" s="42"/>
    </row>
    <row r="286" spans="3:3" x14ac:dyDescent="0.4">
      <c r="C286" s="42"/>
    </row>
    <row r="292" spans="3:3" x14ac:dyDescent="0.4">
      <c r="C292" s="42"/>
    </row>
    <row r="294" spans="3:3" x14ac:dyDescent="0.4">
      <c r="C294" s="42"/>
    </row>
    <row r="296" spans="3:3" x14ac:dyDescent="0.4">
      <c r="C296" s="42"/>
    </row>
    <row r="302" spans="3:3" x14ac:dyDescent="0.4">
      <c r="C302" s="42"/>
    </row>
    <row r="304" spans="3:3" x14ac:dyDescent="0.4">
      <c r="C304" s="42"/>
    </row>
    <row r="306" spans="3:3" x14ac:dyDescent="0.4">
      <c r="C306" s="42"/>
    </row>
    <row r="312" spans="3:3" x14ac:dyDescent="0.4">
      <c r="C312" s="42"/>
    </row>
    <row r="314" spans="3:3" x14ac:dyDescent="0.4">
      <c r="C314" s="42"/>
    </row>
    <row r="316" spans="3:3" x14ac:dyDescent="0.4">
      <c r="C316" s="42"/>
    </row>
    <row r="322" spans="3:3" x14ac:dyDescent="0.4">
      <c r="C322" s="42"/>
    </row>
    <row r="324" spans="3:3" x14ac:dyDescent="0.4">
      <c r="C324" s="42"/>
    </row>
    <row r="326" spans="3:3" x14ac:dyDescent="0.4">
      <c r="C326" s="42"/>
    </row>
    <row r="332" spans="3:3" x14ac:dyDescent="0.4">
      <c r="C332" s="42"/>
    </row>
    <row r="334" spans="3:3" x14ac:dyDescent="0.4">
      <c r="C334" s="42"/>
    </row>
    <row r="336" spans="3:3" x14ac:dyDescent="0.4">
      <c r="C336" s="42"/>
    </row>
    <row r="342" spans="3:3" x14ac:dyDescent="0.4">
      <c r="C342" s="42"/>
    </row>
    <row r="344" spans="3:3" x14ac:dyDescent="0.4">
      <c r="C344" s="42"/>
    </row>
    <row r="346" spans="3:3" x14ac:dyDescent="0.4">
      <c r="C346" s="42"/>
    </row>
    <row r="352" spans="3:3" x14ac:dyDescent="0.4">
      <c r="C352" s="42"/>
    </row>
    <row r="354" spans="3:3" x14ac:dyDescent="0.4">
      <c r="C354" s="42"/>
    </row>
    <row r="356" spans="3:3" x14ac:dyDescent="0.4">
      <c r="C356" s="42"/>
    </row>
    <row r="362" spans="3:3" x14ac:dyDescent="0.4">
      <c r="C362" s="42"/>
    </row>
    <row r="364" spans="3:3" x14ac:dyDescent="0.4">
      <c r="C364" s="42"/>
    </row>
    <row r="366" spans="3:3" x14ac:dyDescent="0.4">
      <c r="C366" s="42"/>
    </row>
    <row r="372" spans="3:3" x14ac:dyDescent="0.4">
      <c r="C372" s="42"/>
    </row>
    <row r="374" spans="3:3" x14ac:dyDescent="0.4">
      <c r="C374" s="42"/>
    </row>
    <row r="376" spans="3:3" x14ac:dyDescent="0.4">
      <c r="C376" s="42"/>
    </row>
    <row r="382" spans="3:3" x14ac:dyDescent="0.4">
      <c r="C382" s="42"/>
    </row>
    <row r="384" spans="3:3" x14ac:dyDescent="0.4">
      <c r="C384" s="42"/>
    </row>
    <row r="386" spans="3:3" x14ac:dyDescent="0.4">
      <c r="C386" s="42"/>
    </row>
    <row r="392" spans="3:3" x14ac:dyDescent="0.4">
      <c r="C392" s="42"/>
    </row>
    <row r="394" spans="3:3" x14ac:dyDescent="0.4">
      <c r="C394" s="42"/>
    </row>
    <row r="396" spans="3:3" x14ac:dyDescent="0.4">
      <c r="C396" s="42"/>
    </row>
    <row r="402" spans="3:3" x14ac:dyDescent="0.4">
      <c r="C402" s="42"/>
    </row>
    <row r="404" spans="3:3" x14ac:dyDescent="0.4">
      <c r="C404" s="42"/>
    </row>
    <row r="406" spans="3:3" x14ac:dyDescent="0.4">
      <c r="C406" s="42"/>
    </row>
    <row r="412" spans="3:3" x14ac:dyDescent="0.4">
      <c r="C412" s="42"/>
    </row>
    <row r="414" spans="3:3" x14ac:dyDescent="0.4">
      <c r="C414" s="42"/>
    </row>
    <row r="416" spans="3:3" x14ac:dyDescent="0.4">
      <c r="C416" s="42"/>
    </row>
    <row r="422" spans="3:3" x14ac:dyDescent="0.4">
      <c r="C422" s="42"/>
    </row>
    <row r="424" spans="3:3" x14ac:dyDescent="0.4">
      <c r="C424" s="42"/>
    </row>
    <row r="426" spans="3:3" x14ac:dyDescent="0.4">
      <c r="C426" s="42"/>
    </row>
    <row r="432" spans="3:3" x14ac:dyDescent="0.4">
      <c r="C432" s="42"/>
    </row>
    <row r="434" spans="3:3" x14ac:dyDescent="0.4">
      <c r="C434" s="42"/>
    </row>
    <row r="436" spans="3:3" x14ac:dyDescent="0.4">
      <c r="C436" s="42"/>
    </row>
    <row r="442" spans="3:3" x14ac:dyDescent="0.4">
      <c r="C442" s="42"/>
    </row>
    <row r="444" spans="3:3" x14ac:dyDescent="0.4">
      <c r="C444" s="42"/>
    </row>
    <row r="446" spans="3:3" x14ac:dyDescent="0.4">
      <c r="C446" s="42"/>
    </row>
    <row r="452" spans="3:3" x14ac:dyDescent="0.4">
      <c r="C452" s="42"/>
    </row>
    <row r="454" spans="3:3" x14ac:dyDescent="0.4">
      <c r="C454" s="42"/>
    </row>
    <row r="456" spans="3:3" x14ac:dyDescent="0.4">
      <c r="C456" s="42"/>
    </row>
    <row r="462" spans="3:3" x14ac:dyDescent="0.4">
      <c r="C462" s="42"/>
    </row>
    <row r="464" spans="3:3" x14ac:dyDescent="0.4">
      <c r="C464" s="42"/>
    </row>
    <row r="466" spans="3:3" x14ac:dyDescent="0.4">
      <c r="C466" s="42"/>
    </row>
    <row r="472" spans="3:3" x14ac:dyDescent="0.4">
      <c r="C472" s="42"/>
    </row>
    <row r="474" spans="3:3" x14ac:dyDescent="0.4">
      <c r="C474" s="42"/>
    </row>
    <row r="476" spans="3:3" x14ac:dyDescent="0.4">
      <c r="C476" s="42"/>
    </row>
    <row r="482" spans="3:3" x14ac:dyDescent="0.4">
      <c r="C482" s="42"/>
    </row>
    <row r="484" spans="3:3" x14ac:dyDescent="0.4">
      <c r="C484" s="42"/>
    </row>
    <row r="486" spans="3:3" x14ac:dyDescent="0.4">
      <c r="C486" s="42"/>
    </row>
    <row r="492" spans="3:3" x14ac:dyDescent="0.4">
      <c r="C492" s="42"/>
    </row>
    <row r="494" spans="3:3" x14ac:dyDescent="0.4">
      <c r="C494" s="42"/>
    </row>
    <row r="496" spans="3:3" x14ac:dyDescent="0.4">
      <c r="C496" s="42"/>
    </row>
    <row r="502" spans="3:3" x14ac:dyDescent="0.4">
      <c r="C502" s="42"/>
    </row>
    <row r="504" spans="3:3" x14ac:dyDescent="0.4">
      <c r="C504" s="42"/>
    </row>
    <row r="506" spans="3:3" x14ac:dyDescent="0.4">
      <c r="C506" s="42"/>
    </row>
    <row r="512" spans="3:3" x14ac:dyDescent="0.4">
      <c r="C512" s="42"/>
    </row>
    <row r="514" spans="3:3" x14ac:dyDescent="0.4">
      <c r="C514" s="42"/>
    </row>
    <row r="516" spans="3:3" x14ac:dyDescent="0.4">
      <c r="C516" s="42"/>
    </row>
    <row r="522" spans="3:3" x14ac:dyDescent="0.4">
      <c r="C522" s="42"/>
    </row>
    <row r="524" spans="3:3" x14ac:dyDescent="0.4">
      <c r="C524" s="42"/>
    </row>
    <row r="526" spans="3:3" x14ac:dyDescent="0.4">
      <c r="C526" s="42"/>
    </row>
    <row r="532" spans="3:3" x14ac:dyDescent="0.4">
      <c r="C532" s="42"/>
    </row>
    <row r="534" spans="3:3" x14ac:dyDescent="0.4">
      <c r="C534" s="42"/>
    </row>
    <row r="536" spans="3:3" x14ac:dyDescent="0.4">
      <c r="C536" s="42"/>
    </row>
    <row r="542" spans="3:3" x14ac:dyDescent="0.4">
      <c r="C542" s="42"/>
    </row>
    <row r="544" spans="3:3" x14ac:dyDescent="0.4">
      <c r="C544" s="42"/>
    </row>
    <row r="546" spans="3:3" x14ac:dyDescent="0.4">
      <c r="C546" s="42"/>
    </row>
    <row r="552" spans="3:3" x14ac:dyDescent="0.4">
      <c r="C552" s="42"/>
    </row>
    <row r="554" spans="3:3" x14ac:dyDescent="0.4">
      <c r="C554" s="42"/>
    </row>
    <row r="556" spans="3:3" x14ac:dyDescent="0.4">
      <c r="C556" s="42"/>
    </row>
    <row r="562" spans="3:3" x14ac:dyDescent="0.4">
      <c r="C562" s="42"/>
    </row>
    <row r="564" spans="3:3" x14ac:dyDescent="0.4">
      <c r="C564" s="42"/>
    </row>
    <row r="566" spans="3:3" x14ac:dyDescent="0.4">
      <c r="C566" s="42"/>
    </row>
    <row r="572" spans="3:3" x14ac:dyDescent="0.4">
      <c r="C572" s="42"/>
    </row>
    <row r="574" spans="3:3" x14ac:dyDescent="0.4">
      <c r="C574" s="42"/>
    </row>
    <row r="576" spans="3:3" x14ac:dyDescent="0.4">
      <c r="C576" s="42"/>
    </row>
    <row r="582" spans="3:3" x14ac:dyDescent="0.4">
      <c r="C582" s="42"/>
    </row>
    <row r="584" spans="3:3" x14ac:dyDescent="0.4">
      <c r="C584" s="42"/>
    </row>
    <row r="586" spans="3:3" x14ac:dyDescent="0.4">
      <c r="C586" s="42"/>
    </row>
    <row r="592" spans="3:3" x14ac:dyDescent="0.4">
      <c r="C592" s="42"/>
    </row>
    <row r="594" spans="3:3" x14ac:dyDescent="0.4">
      <c r="C594" s="42"/>
    </row>
    <row r="596" spans="3:3" x14ac:dyDescent="0.4">
      <c r="C596" s="42"/>
    </row>
    <row r="602" spans="3:3" x14ac:dyDescent="0.4">
      <c r="C602" s="42"/>
    </row>
    <row r="604" spans="3:3" x14ac:dyDescent="0.4">
      <c r="C604" s="42"/>
    </row>
    <row r="606" spans="3:3" x14ac:dyDescent="0.4">
      <c r="C606" s="42"/>
    </row>
    <row r="612" spans="3:3" x14ac:dyDescent="0.4">
      <c r="C612" s="42"/>
    </row>
    <row r="614" spans="3:3" x14ac:dyDescent="0.4">
      <c r="C614" s="42"/>
    </row>
    <row r="616" spans="3:3" x14ac:dyDescent="0.4">
      <c r="C616" s="42"/>
    </row>
    <row r="622" spans="3:3" x14ac:dyDescent="0.4">
      <c r="C622" s="42"/>
    </row>
    <row r="624" spans="3:3" x14ac:dyDescent="0.4">
      <c r="C624" s="42"/>
    </row>
    <row r="626" spans="3:3" x14ac:dyDescent="0.4">
      <c r="C626" s="42"/>
    </row>
    <row r="632" spans="3:3" x14ac:dyDescent="0.4">
      <c r="C632" s="42"/>
    </row>
    <row r="634" spans="3:3" x14ac:dyDescent="0.4">
      <c r="C634" s="42"/>
    </row>
    <row r="636" spans="3:3" x14ac:dyDescent="0.4">
      <c r="C636" s="42"/>
    </row>
    <row r="642" spans="3:3" x14ac:dyDescent="0.4">
      <c r="C642" s="42"/>
    </row>
    <row r="644" spans="3:3" x14ac:dyDescent="0.4">
      <c r="C644" s="42"/>
    </row>
    <row r="646" spans="3:3" x14ac:dyDescent="0.4">
      <c r="C646" s="42"/>
    </row>
    <row r="652" spans="3:3" x14ac:dyDescent="0.4">
      <c r="C652" s="42"/>
    </row>
    <row r="654" spans="3:3" x14ac:dyDescent="0.4">
      <c r="C654" s="42"/>
    </row>
    <row r="656" spans="3:3" x14ac:dyDescent="0.4">
      <c r="C656" s="42"/>
    </row>
    <row r="662" spans="3:3" x14ac:dyDescent="0.4">
      <c r="C662" s="42"/>
    </row>
    <row r="664" spans="3:3" x14ac:dyDescent="0.4">
      <c r="C664" s="42"/>
    </row>
    <row r="666" spans="3:3" x14ac:dyDescent="0.4">
      <c r="C666" s="42"/>
    </row>
    <row r="672" spans="3:3" x14ac:dyDescent="0.4">
      <c r="C672" s="42"/>
    </row>
    <row r="674" spans="3:3" x14ac:dyDescent="0.4">
      <c r="C674" s="42"/>
    </row>
    <row r="676" spans="3:3" x14ac:dyDescent="0.4">
      <c r="C676" s="42"/>
    </row>
    <row r="682" spans="3:3" x14ac:dyDescent="0.4">
      <c r="C682" s="42"/>
    </row>
    <row r="684" spans="3:3" x14ac:dyDescent="0.4">
      <c r="C684" s="42"/>
    </row>
    <row r="686" spans="3:3" x14ac:dyDescent="0.4">
      <c r="C686" s="42"/>
    </row>
    <row r="692" spans="3:3" x14ac:dyDescent="0.4">
      <c r="C692" s="42"/>
    </row>
    <row r="694" spans="3:3" x14ac:dyDescent="0.4">
      <c r="C694" s="42"/>
    </row>
    <row r="696" spans="3:3" x14ac:dyDescent="0.4">
      <c r="C696" s="42"/>
    </row>
    <row r="702" spans="3:3" x14ac:dyDescent="0.4">
      <c r="C702" s="42"/>
    </row>
    <row r="704" spans="3:3" x14ac:dyDescent="0.4">
      <c r="C704" s="42"/>
    </row>
    <row r="706" spans="3:3" x14ac:dyDescent="0.4">
      <c r="C706" s="42"/>
    </row>
    <row r="712" spans="3:3" x14ac:dyDescent="0.4">
      <c r="C712" s="42"/>
    </row>
    <row r="714" spans="3:3" x14ac:dyDescent="0.4">
      <c r="C714" s="42"/>
    </row>
    <row r="716" spans="3:3" x14ac:dyDescent="0.4">
      <c r="C716" s="42"/>
    </row>
    <row r="722" spans="3:3" x14ac:dyDescent="0.4">
      <c r="C722" s="42"/>
    </row>
    <row r="724" spans="3:3" x14ac:dyDescent="0.4">
      <c r="C724" s="42"/>
    </row>
    <row r="726" spans="3:3" x14ac:dyDescent="0.4">
      <c r="C726" s="42"/>
    </row>
    <row r="732" spans="3:3" x14ac:dyDescent="0.4">
      <c r="C732" s="42"/>
    </row>
    <row r="734" spans="3:3" x14ac:dyDescent="0.4">
      <c r="C734" s="42"/>
    </row>
    <row r="736" spans="3:3" x14ac:dyDescent="0.4">
      <c r="C736" s="42"/>
    </row>
    <row r="742" spans="3:3" x14ac:dyDescent="0.4">
      <c r="C742" s="42"/>
    </row>
    <row r="744" spans="3:3" x14ac:dyDescent="0.4">
      <c r="C744" s="42"/>
    </row>
    <row r="746" spans="3:3" x14ac:dyDescent="0.4">
      <c r="C746" s="42"/>
    </row>
    <row r="752" spans="3:3" x14ac:dyDescent="0.4">
      <c r="C752" s="42"/>
    </row>
    <row r="754" spans="3:3" x14ac:dyDescent="0.4">
      <c r="C754" s="42"/>
    </row>
    <row r="756" spans="3:3" x14ac:dyDescent="0.4">
      <c r="C756" s="42"/>
    </row>
    <row r="762" spans="3:3" x14ac:dyDescent="0.4">
      <c r="C762" s="42"/>
    </row>
    <row r="764" spans="3:3" x14ac:dyDescent="0.4">
      <c r="C764" s="42"/>
    </row>
    <row r="766" spans="3:3" x14ac:dyDescent="0.4">
      <c r="C766" s="42"/>
    </row>
    <row r="772" spans="3:3" x14ac:dyDescent="0.4">
      <c r="C772" s="42"/>
    </row>
    <row r="774" spans="3:3" x14ac:dyDescent="0.4">
      <c r="C774" s="42"/>
    </row>
    <row r="776" spans="3:3" x14ac:dyDescent="0.4">
      <c r="C776" s="42"/>
    </row>
    <row r="782" spans="3:3" x14ac:dyDescent="0.4">
      <c r="C782" s="42"/>
    </row>
    <row r="784" spans="3:3" x14ac:dyDescent="0.4">
      <c r="C784" s="42"/>
    </row>
    <row r="786" spans="3:3" x14ac:dyDescent="0.4">
      <c r="C786" s="42"/>
    </row>
    <row r="792" spans="3:3" x14ac:dyDescent="0.4">
      <c r="C792" s="42"/>
    </row>
    <row r="794" spans="3:3" x14ac:dyDescent="0.4">
      <c r="C794" s="42"/>
    </row>
    <row r="796" spans="3:3" x14ac:dyDescent="0.4">
      <c r="C796" s="42"/>
    </row>
    <row r="802" spans="3:3" x14ac:dyDescent="0.4">
      <c r="C802" s="42"/>
    </row>
    <row r="804" spans="3:3" x14ac:dyDescent="0.4">
      <c r="C804" s="42"/>
    </row>
    <row r="806" spans="3:3" x14ac:dyDescent="0.4">
      <c r="C806" s="42"/>
    </row>
    <row r="812" spans="3:3" x14ac:dyDescent="0.4">
      <c r="C812" s="42"/>
    </row>
    <row r="814" spans="3:3" x14ac:dyDescent="0.4">
      <c r="C814" s="42"/>
    </row>
    <row r="816" spans="3:3" x14ac:dyDescent="0.4">
      <c r="C816" s="42"/>
    </row>
    <row r="822" spans="3:3" x14ac:dyDescent="0.4">
      <c r="C822" s="42"/>
    </row>
    <row r="824" spans="3:3" x14ac:dyDescent="0.4">
      <c r="C824" s="42"/>
    </row>
    <row r="826" spans="3:3" x14ac:dyDescent="0.4">
      <c r="C826" s="42"/>
    </row>
    <row r="832" spans="3:3" x14ac:dyDescent="0.4">
      <c r="C832" s="42"/>
    </row>
    <row r="834" spans="3:3" x14ac:dyDescent="0.4">
      <c r="C834" s="42"/>
    </row>
    <row r="836" spans="3:3" x14ac:dyDescent="0.4">
      <c r="C836" s="42"/>
    </row>
    <row r="842" spans="3:3" x14ac:dyDescent="0.4">
      <c r="C842" s="42"/>
    </row>
    <row r="844" spans="3:3" x14ac:dyDescent="0.4">
      <c r="C844" s="42"/>
    </row>
    <row r="846" spans="3:3" x14ac:dyDescent="0.4">
      <c r="C846" s="42"/>
    </row>
    <row r="852" spans="3:3" x14ac:dyDescent="0.4">
      <c r="C852" s="42"/>
    </row>
    <row r="854" spans="3:3" x14ac:dyDescent="0.4">
      <c r="C854" s="42"/>
    </row>
    <row r="856" spans="3:3" x14ac:dyDescent="0.4">
      <c r="C856" s="42"/>
    </row>
    <row r="862" spans="3:3" x14ac:dyDescent="0.4">
      <c r="C862" s="42"/>
    </row>
    <row r="864" spans="3:3" x14ac:dyDescent="0.4">
      <c r="C864" s="42"/>
    </row>
    <row r="866" spans="3:3" x14ac:dyDescent="0.4">
      <c r="C866" s="42"/>
    </row>
    <row r="872" spans="3:3" x14ac:dyDescent="0.4">
      <c r="C872" s="42"/>
    </row>
    <row r="874" spans="3:3" x14ac:dyDescent="0.4">
      <c r="C874" s="42"/>
    </row>
    <row r="876" spans="3:3" x14ac:dyDescent="0.4">
      <c r="C876" s="42"/>
    </row>
    <row r="882" spans="3:3" x14ac:dyDescent="0.4">
      <c r="C882" s="42"/>
    </row>
    <row r="884" spans="3:3" x14ac:dyDescent="0.4">
      <c r="C884" s="42"/>
    </row>
    <row r="886" spans="3:3" x14ac:dyDescent="0.4">
      <c r="C886" s="42"/>
    </row>
    <row r="892" spans="3:3" x14ac:dyDescent="0.4">
      <c r="C892" s="42"/>
    </row>
    <row r="894" spans="3:3" x14ac:dyDescent="0.4">
      <c r="C894" s="42"/>
    </row>
    <row r="896" spans="3:3" x14ac:dyDescent="0.4">
      <c r="C896" s="42"/>
    </row>
    <row r="902" spans="3:3" x14ac:dyDescent="0.4">
      <c r="C902" s="42"/>
    </row>
    <row r="904" spans="3:3" x14ac:dyDescent="0.4">
      <c r="C904" s="42"/>
    </row>
    <row r="906" spans="3:3" x14ac:dyDescent="0.4">
      <c r="C906" s="42"/>
    </row>
    <row r="912" spans="3:3" x14ac:dyDescent="0.4">
      <c r="C912" s="42"/>
    </row>
    <row r="914" spans="3:3" x14ac:dyDescent="0.4">
      <c r="C914" s="42"/>
    </row>
    <row r="916" spans="3:3" x14ac:dyDescent="0.4">
      <c r="C916" s="42"/>
    </row>
    <row r="922" spans="3:3" x14ac:dyDescent="0.4">
      <c r="C922" s="42"/>
    </row>
    <row r="924" spans="3:3" x14ac:dyDescent="0.4">
      <c r="C924" s="42"/>
    </row>
    <row r="926" spans="3:3" x14ac:dyDescent="0.4">
      <c r="C926" s="42"/>
    </row>
    <row r="932" spans="3:3" x14ac:dyDescent="0.4">
      <c r="C932" s="42"/>
    </row>
    <row r="934" spans="3:3" x14ac:dyDescent="0.4">
      <c r="C934" s="42"/>
    </row>
    <row r="936" spans="3:3" x14ac:dyDescent="0.4">
      <c r="C936" s="42"/>
    </row>
    <row r="942" spans="3:3" x14ac:dyDescent="0.4">
      <c r="C942" s="42"/>
    </row>
    <row r="944" spans="3:3" x14ac:dyDescent="0.4">
      <c r="C944" s="42"/>
    </row>
    <row r="946" spans="3:3" x14ac:dyDescent="0.4">
      <c r="C946" s="42"/>
    </row>
    <row r="952" spans="3:3" x14ac:dyDescent="0.4">
      <c r="C952" s="42"/>
    </row>
    <row r="954" spans="3:3" x14ac:dyDescent="0.4">
      <c r="C954" s="42"/>
    </row>
    <row r="956" spans="3:3" x14ac:dyDescent="0.4">
      <c r="C956" s="42"/>
    </row>
    <row r="962" spans="3:3" x14ac:dyDescent="0.4">
      <c r="C962" s="42"/>
    </row>
    <row r="964" spans="3:3" x14ac:dyDescent="0.4">
      <c r="C964" s="42"/>
    </row>
    <row r="966" spans="3:3" x14ac:dyDescent="0.4">
      <c r="C966" s="42"/>
    </row>
    <row r="972" spans="3:3" x14ac:dyDescent="0.4">
      <c r="C972" s="42"/>
    </row>
    <row r="974" spans="3:3" x14ac:dyDescent="0.4">
      <c r="C974" s="42"/>
    </row>
    <row r="976" spans="3:3" x14ac:dyDescent="0.4">
      <c r="C976" s="42"/>
    </row>
    <row r="982" spans="3:3" x14ac:dyDescent="0.4">
      <c r="C982" s="42"/>
    </row>
    <row r="984" spans="3:3" x14ac:dyDescent="0.4">
      <c r="C984" s="42"/>
    </row>
    <row r="986" spans="3:3" x14ac:dyDescent="0.4">
      <c r="C986" s="42"/>
    </row>
    <row r="992" spans="3:3" x14ac:dyDescent="0.4">
      <c r="C992" s="42"/>
    </row>
    <row r="994" spans="3:3" x14ac:dyDescent="0.4">
      <c r="C994" s="42"/>
    </row>
    <row r="996" spans="3:3" x14ac:dyDescent="0.4">
      <c r="C996" s="42"/>
    </row>
    <row r="1002" spans="3:3" x14ac:dyDescent="0.4">
      <c r="C1002" s="42"/>
    </row>
    <row r="1004" spans="3:3" x14ac:dyDescent="0.4">
      <c r="C1004" s="42"/>
    </row>
    <row r="1006" spans="3:3" x14ac:dyDescent="0.4">
      <c r="C1006" s="42"/>
    </row>
    <row r="1012" spans="3:3" x14ac:dyDescent="0.4">
      <c r="C1012" s="42"/>
    </row>
    <row r="1014" spans="3:3" x14ac:dyDescent="0.4">
      <c r="C1014" s="42"/>
    </row>
    <row r="1016" spans="3:3" x14ac:dyDescent="0.4">
      <c r="C1016" s="42"/>
    </row>
    <row r="1022" spans="3:3" x14ac:dyDescent="0.4">
      <c r="C1022" s="42"/>
    </row>
    <row r="1024" spans="3:3" x14ac:dyDescent="0.4">
      <c r="C1024" s="42"/>
    </row>
    <row r="1026" spans="3:3" x14ac:dyDescent="0.4">
      <c r="C1026" s="42"/>
    </row>
    <row r="1032" spans="3:3" x14ac:dyDescent="0.4">
      <c r="C1032" s="42"/>
    </row>
    <row r="1034" spans="3:3" x14ac:dyDescent="0.4">
      <c r="C1034" s="42"/>
    </row>
    <row r="1036" spans="3:3" x14ac:dyDescent="0.4">
      <c r="C1036" s="42"/>
    </row>
    <row r="1042" spans="3:3" x14ac:dyDescent="0.4">
      <c r="C1042" s="42"/>
    </row>
    <row r="1044" spans="3:3" x14ac:dyDescent="0.4">
      <c r="C1044" s="42"/>
    </row>
    <row r="1046" spans="3:3" x14ac:dyDescent="0.4">
      <c r="C1046" s="42"/>
    </row>
    <row r="1052" spans="3:3" x14ac:dyDescent="0.4">
      <c r="C1052" s="42"/>
    </row>
    <row r="1054" spans="3:3" x14ac:dyDescent="0.4">
      <c r="C1054" s="42"/>
    </row>
    <row r="1056" spans="3:3" x14ac:dyDescent="0.4">
      <c r="C1056" s="42"/>
    </row>
    <row r="1062" spans="3:3" x14ac:dyDescent="0.4">
      <c r="C1062" s="42"/>
    </row>
    <row r="1064" spans="3:3" x14ac:dyDescent="0.4">
      <c r="C1064" s="42"/>
    </row>
    <row r="1066" spans="3:3" x14ac:dyDescent="0.4">
      <c r="C1066" s="42"/>
    </row>
    <row r="1072" spans="3:3" x14ac:dyDescent="0.4">
      <c r="C1072" s="42"/>
    </row>
    <row r="1074" spans="3:3" x14ac:dyDescent="0.4">
      <c r="C1074" s="42"/>
    </row>
    <row r="1076" spans="3:3" x14ac:dyDescent="0.4">
      <c r="C1076" s="42"/>
    </row>
    <row r="1082" spans="3:3" x14ac:dyDescent="0.4">
      <c r="C1082" s="42"/>
    </row>
    <row r="1084" spans="3:3" x14ac:dyDescent="0.4">
      <c r="C1084" s="42"/>
    </row>
    <row r="1086" spans="3:3" x14ac:dyDescent="0.4">
      <c r="C1086" s="42"/>
    </row>
    <row r="1092" spans="3:3" x14ac:dyDescent="0.4">
      <c r="C1092" s="42"/>
    </row>
    <row r="1094" spans="3:3" x14ac:dyDescent="0.4">
      <c r="C1094" s="42"/>
    </row>
    <row r="1096" spans="3:3" x14ac:dyDescent="0.4">
      <c r="C1096" s="42"/>
    </row>
    <row r="1102" spans="3:3" x14ac:dyDescent="0.4">
      <c r="C1102" s="42"/>
    </row>
    <row r="1104" spans="3:3" x14ac:dyDescent="0.4">
      <c r="C1104" s="42"/>
    </row>
    <row r="1106" spans="3:3" x14ac:dyDescent="0.4">
      <c r="C1106" s="42"/>
    </row>
    <row r="1112" spans="3:3" x14ac:dyDescent="0.4">
      <c r="C1112" s="42"/>
    </row>
    <row r="1114" spans="3:3" x14ac:dyDescent="0.4">
      <c r="C1114" s="42"/>
    </row>
    <row r="1116" spans="3:3" x14ac:dyDescent="0.4">
      <c r="C1116" s="42"/>
    </row>
    <row r="1122" spans="3:3" x14ac:dyDescent="0.4">
      <c r="C1122" s="42"/>
    </row>
    <row r="1124" spans="3:3" x14ac:dyDescent="0.4">
      <c r="C1124" s="42"/>
    </row>
    <row r="1126" spans="3:3" x14ac:dyDescent="0.4">
      <c r="C1126" s="42"/>
    </row>
    <row r="1132" spans="3:3" x14ac:dyDescent="0.4">
      <c r="C1132" s="42"/>
    </row>
    <row r="1134" spans="3:3" x14ac:dyDescent="0.4">
      <c r="C1134" s="42"/>
    </row>
    <row r="1136" spans="3:3" x14ac:dyDescent="0.4">
      <c r="C1136" s="42"/>
    </row>
    <row r="1142" spans="3:3" x14ac:dyDescent="0.4">
      <c r="C1142" s="42"/>
    </row>
    <row r="1144" spans="3:3" x14ac:dyDescent="0.4">
      <c r="C1144" s="42"/>
    </row>
    <row r="1146" spans="3:3" x14ac:dyDescent="0.4">
      <c r="C1146" s="42"/>
    </row>
    <row r="1152" spans="3:3" x14ac:dyDescent="0.4">
      <c r="C1152" s="42"/>
    </row>
    <row r="1154" spans="3:3" x14ac:dyDescent="0.4">
      <c r="C1154" s="42"/>
    </row>
    <row r="1156" spans="3:3" x14ac:dyDescent="0.4">
      <c r="C1156" s="42"/>
    </row>
    <row r="1162" spans="3:3" x14ac:dyDescent="0.4">
      <c r="C1162" s="42"/>
    </row>
    <row r="1164" spans="3:3" x14ac:dyDescent="0.4">
      <c r="C1164" s="42"/>
    </row>
    <row r="1166" spans="3:3" x14ac:dyDescent="0.4">
      <c r="C1166" s="42"/>
    </row>
    <row r="1172" spans="3:3" x14ac:dyDescent="0.4">
      <c r="C1172" s="42"/>
    </row>
    <row r="1174" spans="3:3" x14ac:dyDescent="0.4">
      <c r="C1174" s="42"/>
    </row>
    <row r="1176" spans="3:3" x14ac:dyDescent="0.4">
      <c r="C1176" s="42"/>
    </row>
    <row r="1182" spans="3:3" x14ac:dyDescent="0.4">
      <c r="C1182" s="42"/>
    </row>
    <row r="1184" spans="3:3" x14ac:dyDescent="0.4">
      <c r="C1184" s="42"/>
    </row>
    <row r="1186" spans="3:3" x14ac:dyDescent="0.4">
      <c r="C1186" s="42"/>
    </row>
    <row r="1192" spans="3:3" x14ac:dyDescent="0.4">
      <c r="C1192" s="42"/>
    </row>
    <row r="1194" spans="3:3" x14ac:dyDescent="0.4">
      <c r="C1194" s="42"/>
    </row>
    <row r="1196" spans="3:3" x14ac:dyDescent="0.4">
      <c r="C1196" s="42"/>
    </row>
    <row r="1202" spans="3:3" x14ac:dyDescent="0.4">
      <c r="C1202" s="42"/>
    </row>
    <row r="1204" spans="3:3" x14ac:dyDescent="0.4">
      <c r="C1204" s="42"/>
    </row>
    <row r="1206" spans="3:3" x14ac:dyDescent="0.4">
      <c r="C1206" s="42"/>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B11"/>
  <sheetViews>
    <sheetView workbookViewId="0"/>
  </sheetViews>
  <sheetFormatPr defaultColWidth="10.625" defaultRowHeight="18.75" x14ac:dyDescent="0.4"/>
  <cols>
    <col min="1" max="1" width="15.75" style="39" customWidth="1"/>
    <col min="2" max="2" width="16.125" style="39" customWidth="1"/>
    <col min="3" max="3" width="19.375" style="39" customWidth="1"/>
    <col min="4" max="4" width="10.625" style="39"/>
    <col min="5" max="5" width="9.5" style="39" bestFit="1" customWidth="1"/>
    <col min="6" max="16384" width="10.625" style="39"/>
  </cols>
  <sheetData>
    <row r="2" spans="2:2" x14ac:dyDescent="0.4">
      <c r="B2" s="56"/>
    </row>
    <row r="4" spans="2:2" x14ac:dyDescent="0.4">
      <c r="B4" s="56"/>
    </row>
    <row r="11" spans="2:2" x14ac:dyDescent="0.4">
      <c r="B11" s="56"/>
    </row>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e_API_read_me</vt:lpstr>
      <vt:lpstr>ログイン</vt:lpstr>
      <vt:lpstr>照会</vt:lpstr>
      <vt:lpstr>現物</vt:lpstr>
      <vt:lpstr>信用</vt:lpstr>
      <vt:lpstr>訂正取消</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公益財団法人　石井記念証券研究振興財団</cp:lastModifiedBy>
  <cp:lastPrinted>2023-05-31T03:00:42Z</cp:lastPrinted>
  <dcterms:created xsi:type="dcterms:W3CDTF">2021-07-30T00:58:19Z</dcterms:created>
  <dcterms:modified xsi:type="dcterms:W3CDTF">2025-12-18T02:16:21Z</dcterms:modified>
</cp:coreProperties>
</file>